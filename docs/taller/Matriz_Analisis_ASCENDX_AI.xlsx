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📋 Portada &amp; Guía" sheetId="1" state="visible" r:id="rId3"/>
    <sheet name="🗺️ Matriz Principal" sheetId="2" state="visible" r:id="rId4"/>
    <sheet name="👤 Actores &amp; Roles" sheetId="3" state="visible" r:id="rId5"/>
    <sheet name="⚡ Funciones App" sheetId="4" state="visible" r:id="rId6"/>
    <sheet name="🔌 APIs &amp; Sistemas" sheetId="5" state="visible" r:id="rId7"/>
    <sheet name="⚠️ Análisis de Riesgos" sheetId="6" state="visible" r:id="rId8"/>
    <sheet name="📊 Estadísticas App" sheetId="7" state="visible" r:id="rId9"/>
    <sheet name="💰 Modelo Comercial" sheetId="8" state="visible" r:id="rId10"/>
    <sheet name="🚀 Hoja de Ruta MVP" sheetId="9" state="visible" r:id="rId11"/>
    <sheet name="✅ Checklist Lanzamient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<sst xmlns="http://schemas.openxmlformats.org/spreadsheetml/2006/main" count="1254" uniqueCount="879">
  <si>
    <t xml:space="preserve"> MATRIZ DE ANÁLISIS DE APLICACIONES</t>
  </si>
  <si>
    <t xml:space="preserve">Semillero de Innovación Tecnológica · Metodología Ágil + Lean Startup + Design Thinking</t>
  </si>
  <si>
    <t xml:space="preserve">Guía completa para documentar, validar y planificar tu aplicación antes de desarrollarla</t>
  </si>
  <si>
    <t xml:space="preserve">DATOS DEL PROYECTO</t>
  </si>
  <si>
    <t xml:space="preserve">Nombre de la Alumnos</t>
  </si>
  <si>
    <t xml:space="preserve">Edwin Molina</t>
  </si>
  <si>
    <t xml:space="preserve">[Integrante 2, si aplica]</t>
  </si>
  <si>
    <t xml:space="preserve">[Integrante 3, si aplica]</t>
  </si>
  <si>
    <t xml:space="preserve">[Integrante 4, si aplica]</t>
  </si>
  <si>
    <t xml:space="preserve">Lema:</t>
  </si>
  <si>
    <t xml:space="preserve">Convierte potencial en progreso medible.</t>
  </si>
  <si>
    <t xml:space="preserve">Nombre de la Aplicación:</t>
  </si>
  <si>
    <t xml:space="preserve">ASCENDX AI</t>
  </si>
  <si>
    <t xml:space="preserve">Versión:</t>
  </si>
  <si>
    <t xml:space="preserve">v0.2 (discovery + Sprint 1)</t>
  </si>
  <si>
    <t xml:space="preserve">Autor / Equipo:</t>
  </si>
  <si>
    <t xml:space="preserve">Fecha:</t>
  </si>
  <si>
    <t xml:space="preserve">16/10/2026</t>
  </si>
  <si>
    <t xml:space="preserve">Institución / Semillero:</t>
  </si>
  <si>
    <t xml:space="preserve">[Institución] · Programa de Desarrollo de Aplicaciones Móviles</t>
  </si>
  <si>
    <t xml:space="preserve">Rol:</t>
  </si>
  <si>
    <t xml:space="preserve">Desarrollador full stack y Product Owner</t>
  </si>
  <si>
    <t xml:space="preserve">Tipo de Proyecto:</t>
  </si>
  <si>
    <t xml:space="preserve">Académico (proyecto de grado) con potencial de emprendimiento</t>
  </si>
  <si>
    <t xml:space="preserve">Estado:</t>
  </si>
  <si>
    <t xml:space="preserve">En desarrollo (Sprint 1 cerrado)</t>
  </si>
  <si>
    <t xml:space="preserve">Sector / Industria:</t>
  </si>
  <si>
    <t xml:space="preserve">Finanzas personales / educación financiera (fintech)</t>
  </si>
  <si>
    <t xml:space="preserve">Duración estimada:</t>
  </si>
  <si>
    <t xml:space="preserve">8 semanas para el MVP (4 sprints de 2 semanas, hasta el 07/12/2026)</t>
  </si>
  <si>
    <t xml:space="preserve">📚 GUÍA DE USO — HOJAS DE ESTA HERRAMIENTA</t>
  </si>
  <si>
    <t xml:space="preserve">1</t>
  </si>
  <si>
    <t xml:space="preserve">📋 Portada &amp; Guía</t>
  </si>
  <si>
    <t xml:space="preserve">Esta hoja. Datos del proyecto + instrucciones de uso de la herramienta.</t>
  </si>
  <si>
    <t xml:space="preserve">2</t>
  </si>
  <si>
    <t xml:space="preserve">🗺️ Matriz Principal</t>
  </si>
  <si>
    <t xml:space="preserve">El CANVAS completo: usuarios, funciones, APIs, riesgos y estadísticas de la app.</t>
  </si>
  <si>
    <t xml:space="preserve">3</t>
  </si>
  <si>
    <t xml:space="preserve">👤 Actores &amp; Roles</t>
  </si>
  <si>
    <t xml:space="preserve">Quiénes interactúan con la app, sus perfiles, necesidades y nivel de uso.</t>
  </si>
  <si>
    <t xml:space="preserve">4</t>
  </si>
  <si>
    <t xml:space="preserve">⚡ Funciones App</t>
  </si>
  <si>
    <t xml:space="preserve">Detalle de TODAS las funciones: prioridad, módulo, pantallas, estado MVP.</t>
  </si>
  <si>
    <t xml:space="preserve">5</t>
  </si>
  <si>
    <t xml:space="preserve">🔌 APIs &amp; Sistemas</t>
  </si>
  <si>
    <t xml:space="preserve">Conexiones externas: APIs de terceros, bases de datos, integraciones.</t>
  </si>
  <si>
    <t xml:space="preserve">6</t>
  </si>
  <si>
    <t xml:space="preserve">⚠️ Análisis de Riesgos</t>
  </si>
  <si>
    <t xml:space="preserve">Riesgos legales, operativos y funcionales con plan de mitigación.</t>
  </si>
  <si>
    <t xml:space="preserve">7</t>
  </si>
  <si>
    <t xml:space="preserve">📊 Estadísticas App</t>
  </si>
  <si>
    <t xml:space="preserve">KPIs clave, métricas de éxito y proyecciones de usuarios/ingresos.</t>
  </si>
  <si>
    <t xml:space="preserve">8</t>
  </si>
  <si>
    <t xml:space="preserve">💰 Modelo Comercial</t>
  </si>
  <si>
    <t xml:space="preserve">Modelo de negocio: ingresos, costos, propuesta de valor (Lean Canvas).</t>
  </si>
  <si>
    <t xml:space="preserve">9</t>
  </si>
  <si>
    <t xml:space="preserve">🚀 Hoja de Ruta MVP</t>
  </si>
  <si>
    <t xml:space="preserve">Roadmap ágil: Sprints, historias de usuario y criterios de aceptación.</t>
  </si>
  <si>
    <t xml:space="preserve">10</t>
  </si>
  <si>
    <t xml:space="preserve">✅ Checklist Lanzamiento</t>
  </si>
  <si>
    <t xml:space="preserve">Lista de verificación antes de lanzar la primera versión.</t>
  </si>
  <si>
    <t xml:space="preserve">🧠 METODOLOGÍAS INTEGRADAS EN ESTA HERRAMIENTA</t>
  </si>
  <si>
    <t xml:space="preserve">DESIGN THINKING</t>
  </si>
  <si>
    <t xml:space="preserve">Empatía → Definición → Ideación → Prototipo → Prueba. Centra el diseño en el usuario real.</t>
  </si>
  <si>
    <t xml:space="preserve">LEAN STARTUP</t>
  </si>
  <si>
    <t xml:space="preserve">Build → Measure → Learn. Valida hipótesis antes de invertir. Evita construir lo que nadie necesita.</t>
  </si>
  <si>
    <t xml:space="preserve">SCRUM / ÁGIL</t>
  </si>
  <si>
    <t xml:space="preserve">Sprints de 2 semanas. Entrega incremental. Reuniones diarias. Revisión + Retrospectiva.</t>
  </si>
  <si>
    <t xml:space="preserve">LEAN CANVAS</t>
  </si>
  <si>
    <t xml:space="preserve">9 bloques del modelo de negocio. Problema, Solución, Segmento, Ingresos, Canales, Ventaja.</t>
  </si>
  <si>
    <t xml:space="preserve">JOBS TO BE DONE</t>
  </si>
  <si>
    <t xml:space="preserve">El usuario no compra un producto, contrata una solución a un problema. Define el 'trabajo' real.</t>
  </si>
  <si>
    <t xml:space="preserve">OKR / MÉTRICAS</t>
  </si>
  <si>
    <t xml:space="preserve">Objectives &amp; Key Results. Define metas claras y métricas medibles para saber si vas bien.</t>
  </si>
  <si>
    <t xml:space="preserve">⚡ INSTRUCCIONES RÁPIDAS DE USO</t>
  </si>
  <si>
    <t xml:space="preserve">1️⃣ Completa primero esta Portada con los datos básicos del proyecto (arriba).</t>
  </si>
  <si>
    <t xml:space="preserve">2️⃣ Ve a la hoja 'Actores &amp; Roles' y define quiénes usarán tu app (mínimo 2 actores).</t>
  </si>
  <si>
    <t xml:space="preserve">3️⃣ En 'Funciones App' lista TODAS las funciones que quieres. No te preocupes por el orden, primero lista todo.</t>
  </si>
  <si>
    <t xml:space="preserve">4️⃣ Prioriza las funciones con MoSCoW (Must/Should/Could/Won't) y clasifica cuáles van en el MVP.</t>
  </si>
  <si>
    <t xml:space="preserve">5️⃣ En 'APIs &amp; Sistemas' identifica todas las conexiones externas que necesitarás.</t>
  </si>
  <si>
    <t xml:space="preserve">6️⃣ Completa el análisis de riesgos ANTES de escribir una línea de código.</t>
  </si>
  <si>
    <t xml:space="preserve">7️⃣ Define tus métricas de éxito en 'Estadísticas App' — ¿cómo sabrás si la app funciona?</t>
  </si>
  <si>
    <t xml:space="preserve">8️⃣ El 'Modelo Comercial' es OBLIGATORIO aunque sea un proyecto académico. Todo debe ser sostenible.</t>
  </si>
  <si>
    <t xml:space="preserve">9️⃣ Crea tu Hoja de Ruta: divide el trabajo en Sprints de 2 semanas máximo.</t>
  </si>
  <si>
    <t xml:space="preserve">🔟 Antes de lanzar, verifica el Checklist. Si hay ítems pendientes, no lances.</t>
  </si>
  <si>
    <t xml:space="preserve">💡 TIP: Rellena una hoja por sesión de trabajo (2-3 horas). No intentes hacerlo todo de una vez.</t>
  </si>
  <si>
    <t xml:space="preserve">💡 TIP: Involucra a usuarios reales en las entrevistas. La opinión del equipo no cuenta.</t>
  </si>
  <si>
    <t xml:space="preserve">💡 TIP: Esta matriz es VIVA — actualízala durante todo el desarrollo del proyecto.</t>
  </si>
  <si>
    <t xml:space="preserve">🗺️ MATRIZ DE ANÁLISIS DE APLICACIONES — CANVAS COMPLETO</t>
  </si>
  <si>
    <t xml:space="preserve">Una vista de todas las dimensiones de tu proyecto · Actualiza cada Sprint</t>
  </si>
  <si>
    <t xml:space="preserve">👤 INTERACTÚA
(Actor / Tipo)</t>
  </si>
  <si>
    <t xml:space="preserve">⚡ FUNCIÓN PRINCIPAL
(Módulo / Feature)</t>
  </si>
  <si>
    <t xml:space="preserve">📱 FUNCIÓN SECUNDARIA
(Sub-función / Pantalla)</t>
  </si>
  <si>
    <t xml:space="preserve">🔒 FUNCIÓN CRÍTICA
(Seguridad / Privacidad)</t>
  </si>
  <si>
    <t xml:space="preserve">🔌 CONEXIONES
API o SISTEMA</t>
  </si>
  <si>
    <t xml:space="preserve">⚠️ ANÁLISIS DE RIESGO
(Tipo · Nivel · Mitigación)</t>
  </si>
  <si>
    <t xml:space="preserve">📊 ESTADÍSTICA
SERVICIO APP (KPI)</t>
  </si>
  <si>
    <t xml:space="preserve">BLOQUE A — ACTORES DEL SISTEMA</t>
  </si>
  <si>
    <t xml:space="preserve">Estudiante que trabaja (ingresos variables)</t>
  </si>
  <si>
    <t xml:space="preserve">Registrar ingresos y gastos</t>
  </si>
  <si>
    <t xml:space="preserve">Crear meta (computador, moto) y ver su fecha estimada</t>
  </si>
  <si>
    <t xml:space="preserve">Sesión con JWT de 15 min y token de renovación cifrado en el teléfono</t>
  </si>
  <si>
    <t xml:space="preserve">API ASCENDX (Render) + PostgreSQL (Neon)</t>
  </si>
  <si>
    <t xml:space="preserve">Legal: datos financieros personales · ALTO · consentimientos versionados (Ley 1581)</t>
  </si>
  <si>
    <t xml:space="preserve">Movimientos registrados por usuario / semana</t>
  </si>
  <si>
    <t xml:space="preserve">Empleado joven con deudas</t>
  </si>
  <si>
    <t xml:space="preserve">Simular ahorro vs. crédito vs. mixto</t>
  </si>
  <si>
    <t xml:space="preserve">Registrar deudas y pagos</t>
  </si>
  <si>
    <t xml:space="preserve">Cálculos solo en el servidor; el teléfono no decide cifras</t>
  </si>
  <si>
    <t xml:space="preserve">API ASCENDX /simulator + finance-core</t>
  </si>
  <si>
    <t xml:space="preserve">Funcional: error en fórmulas · MEDIO · 49 pruebas, 99 % de cobertura</t>
  </si>
  <si>
    <t xml:space="preserve">Simulaciones completadas / usuario activo</t>
  </si>
  <si>
    <t xml:space="preserve">Trabajador independiente (ingresos irregulares)</t>
  </si>
  <si>
    <t xml:space="preserve">Ver capacidad de ahorro prudente en el panel</t>
  </si>
  <si>
    <t xml:space="preserve">Completar perfil financiero (ingreso, gastos fijos, día de pago)</t>
  </si>
  <si>
    <t xml:space="preserve">Datos de cada usuario aislados por user_id del token</t>
  </si>
  <si>
    <t xml:space="preserve">API ASCENDX /me + Neon</t>
  </si>
  <si>
    <t xml:space="preserve">Funcional: fuga entre usuarios · MEDIO · pruebas de acceso cruzado</t>
  </si>
  <si>
    <t xml:space="preserve">% de usuarios que completan el perfil financiero</t>
  </si>
  <si>
    <t xml:space="preserve">Visitante nuevo (sin cuenta)</t>
  </si>
  <si>
    <t xml:space="preserve">Conocer la propuesta y crear cuenta</t>
  </si>
  <si>
    <t xml:space="preserve">Aceptar términos y tratamiento de datos</t>
  </si>
  <si>
    <t xml:space="preserve">Contraseña con Argon2id; bloqueo 15 min tras 5 intentos</t>
  </si>
  <si>
    <t xml:space="preserve">API ASCENDX /auth</t>
  </si>
  <si>
    <t xml:space="preserve">Legal: consentimiento inválido · ALTO · casillas separadas y versionadas</t>
  </si>
  <si>
    <t xml:space="preserve">Tasa visitante → registro</t>
  </si>
  <si>
    <t xml:space="preserve">Administrador del proyecto</t>
  </si>
  <si>
    <t xml:space="preserve">Registrar la tasa de usura vigente y los límites de IA</t>
  </si>
  <si>
    <t xml:space="preserve">Desplegar versiones y revisar el servidor</t>
  </si>
  <si>
    <t xml:space="preserve">Secretos solo en variables de entorno del servidor</t>
  </si>
  <si>
    <t xml:space="preserve">Render + Neon + GitHub Actions</t>
  </si>
  <si>
    <t xml:space="preserve">Operativo: servidor dormido · ALTO · despertar al abrir la app</t>
  </si>
  <si>
    <t xml:space="preserve">Uptime y latencia de /api/health</t>
  </si>
  <si>
    <t xml:space="preserve">Proveedor de IA (sistema externo)</t>
  </si>
  <si>
    <t xml:space="preserve">Explicar la situación y proponer un plan</t>
  </si>
  <si>
    <t xml:space="preserve">Responder preguntas en el chat del mentor</t>
  </si>
  <si>
    <t xml:space="preserve">Recibe solo totales calculados, sin nombre ni correo</t>
  </si>
  <si>
    <t xml:space="preserve">API de IA (Anthropic u OpenAI, por seleccionar)</t>
  </si>
  <si>
    <t xml:space="preserve">Funcional: la IA inventa cifras · ALTO · cifras solo del backend</t>
  </si>
  <si>
    <t xml:space="preserve">% de respuestas sin cifras inventadas (banco de pruebas)</t>
  </si>
  <si>
    <t xml:space="preserve">Google ML Kit (sistema en el teléfono)</t>
  </si>
  <si>
    <t xml:space="preserve">Leer el texto de un recibo</t>
  </si>
  <si>
    <t xml:space="preserve">Proponer monto, fecha y comercio para revisar</t>
  </si>
  <si>
    <t xml:space="preserve">La foto no sale del teléfono ni se guarda</t>
  </si>
  <si>
    <t xml:space="preserve">ML Kit Text Recognition (en el dispositivo)</t>
  </si>
  <si>
    <t xml:space="preserve">Funcional: lectura errónea · MEDIO · revisión obligatoria antes de guardar</t>
  </si>
  <si>
    <t xml:space="preserve">% de campos que el usuario corrige</t>
  </si>
  <si>
    <t xml:space="preserve">BLOQUE B — TECNOLOGÍA APLICADA</t>
  </si>
  <si>
    <t xml:space="preserve">Frontend / Mobile</t>
  </si>
  <si>
    <t xml:space="preserve">React Native 0.86 + Expo SDK 57 + TypeScript</t>
  </si>
  <si>
    <t xml:space="preserve">Expo Router, react-native-svg, Manrope</t>
  </si>
  <si>
    <t xml:space="preserve">HTTPS; token de renovación en SecureStore (Android Keystore)</t>
  </si>
  <si>
    <t xml:space="preserve">API REST propia</t>
  </si>
  <si>
    <t xml:space="preserve">Técnico: dependencias que cambian rápido · MEDIO</t>
  </si>
  <si>
    <t xml:space="preserve">Tiempo hasta ver el panel (s)</t>
  </si>
  <si>
    <t xml:space="preserve">Backend / API</t>
  </si>
  <si>
    <t xml:space="preserve">Node.js + Express 5 + TypeScript</t>
  </si>
  <si>
    <t xml:space="preserve">Validación con Zod; límites de solicitudes</t>
  </si>
  <si>
    <t xml:space="preserve">JWT 15 min + renovación rotativa; Argon2id</t>
  </si>
  <si>
    <t xml:space="preserve">PostgreSQL (Neon) vía Prisma 7</t>
  </si>
  <si>
    <t xml:space="preserve">Operativo: plan gratis se duerme · ALTO</t>
  </si>
  <si>
    <t xml:space="preserve">Latencia de la API (ms)</t>
  </si>
  <si>
    <t xml:space="preserve">Base de datos</t>
  </si>
  <si>
    <t xml:space="preserve">PostgreSQL 17 en Neon</t>
  </si>
  <si>
    <t xml:space="preserve">18 tablas; dinero en BIGINT (pesos enteros)</t>
  </si>
  <si>
    <t xml:space="preserve">Cifrado en tránsito (SSL) y en reposo del proveedor</t>
  </si>
  <si>
    <t xml:space="preserve">Prisma ORM + migraciones versionadas</t>
  </si>
  <si>
    <t xml:space="preserve">Operativo: pérdida de datos · MEDIO</t>
  </si>
  <si>
    <t xml:space="preserve">Tiempo de respuesta de consultas</t>
  </si>
  <si>
    <t xml:space="preserve">Cloud / Infraestructura</t>
  </si>
  <si>
    <t xml:space="preserve">Render (API) + Neon (BD), planes gratis</t>
  </si>
  <si>
    <t xml:space="preserve">GitHub Actions (CI) y despliegue automático</t>
  </si>
  <si>
    <t xml:space="preserve">Variables de entorno; HTTPS automático</t>
  </si>
  <si>
    <t xml:space="preserve">render.yaml (infraestructura como código)</t>
  </si>
  <si>
    <t xml:space="preserve">Operativo: cambio de condiciones del plan gratis · MEDIO</t>
  </si>
  <si>
    <t xml:space="preserve">Uptime (%)</t>
  </si>
  <si>
    <t xml:space="preserve">IA / Machine Learning</t>
  </si>
  <si>
    <t xml:space="preserve">Modelo de lenguaje por API (proveedor por seleccionar)</t>
  </si>
  <si>
    <t xml:space="preserve">ML Kit para leer recibos en el teléfono</t>
  </si>
  <si>
    <t xml:space="preserve">Consentimiento aparte para IA y para OCR</t>
  </si>
  <si>
    <t xml:space="preserve">API de IA desde el servidor, nunca desde la app</t>
  </si>
  <si>
    <t xml:space="preserve">Legal y funcional: datos enviados y cifras inventadas · ALTO</t>
  </si>
  <si>
    <t xml:space="preserve">Costo de IA por usuario activo / mes</t>
  </si>
  <si>
    <t xml:space="preserve">BLOQUE C — INNOVACIÓN Y DIFERENCIADORES</t>
  </si>
  <si>
    <t xml:space="preserve">Motor de cálculo verificable</t>
  </si>
  <si>
    <t xml:space="preserve">Capacidad de ahorro, metas y simulador en finance-core</t>
  </si>
  <si>
    <t xml:space="preserve">El mismo código en la app y en la API</t>
  </si>
  <si>
    <t xml:space="preserve">Resultados reproducibles y auditables</t>
  </si>
  <si>
    <t xml:space="preserve">packages/finance-core (TypeScript)</t>
  </si>
  <si>
    <t xml:space="preserve">Funcional: fórmula mal implementada · MEDIO</t>
  </si>
  <si>
    <t xml:space="preserve">Cobertura de pruebas del motor (%)</t>
  </si>
  <si>
    <t xml:space="preserve">Mentor de IA con cifras del sistema</t>
  </si>
  <si>
    <t xml:space="preserve">Diagnóstico y plan con los datos del usuario</t>
  </si>
  <si>
    <t xml:space="preserve">Chat que orienta a las funciones de la app</t>
  </si>
  <si>
    <t xml:space="preserve">La IA no accede a la base de datos</t>
  </si>
  <si>
    <t xml:space="preserve">API de IA + contexto preparado por el backend</t>
  </si>
  <si>
    <t xml:space="preserve">Técnico: alucinaciones · ALTO</t>
  </si>
  <si>
    <t xml:space="preserve">% de recomendaciones aceptadas</t>
  </si>
  <si>
    <t xml:space="preserve">Metas múltiples con prioridad</t>
  </si>
  <si>
    <t xml:space="preserve">Reparto del ahorro por prioridad y fecha</t>
  </si>
  <si>
    <t xml:space="preserve">Aviso cuando una meta no es alcanzable</t>
  </si>
  <si>
    <t xml:space="preserve">Supuestos visibles en cada cálculo</t>
  </si>
  <si>
    <t xml:space="preserve">finance-core (allocateGoals)</t>
  </si>
  <si>
    <t xml:space="preserve">Funcional: expectativas irreales · MEDIO</t>
  </si>
  <si>
    <t xml:space="preserve">Metas con aporte en los últimos 30 días</t>
  </si>
  <si>
    <t xml:space="preserve">Simulador ahorro vs. crédito</t>
  </si>
  <si>
    <t xml:space="preserve">Costo total, intereses y fecha de cada camino</t>
  </si>
  <si>
    <t xml:space="preserve">Aviso si la tasa supera la usura vigente</t>
  </si>
  <si>
    <t xml:space="preserve">No promete aprobación de crédito</t>
  </si>
  <si>
    <t xml:space="preserve">finance-core (simulator) + app_settings</t>
  </si>
  <si>
    <t xml:space="preserve">Legal: tasa desactualizada · MEDIO</t>
  </si>
  <si>
    <t xml:space="preserve">Simulaciones por usuario activo</t>
  </si>
  <si>
    <t xml:space="preserve">Experiencia visual y accesible</t>
  </si>
  <si>
    <t xml:space="preserve">Modo oscuro por defecto, claro o sistema</t>
  </si>
  <si>
    <t xml:space="preserve">Animaciones con «reducir movimiento»</t>
  </si>
  <si>
    <t xml:space="preserve">Sin presión psicológica ni premios por endeudarse</t>
  </si>
  <si>
    <t xml:space="preserve">Expo + componentes propios</t>
  </si>
  <si>
    <t xml:space="preserve">Funcional: UX confusa · MEDIO</t>
  </si>
  <si>
    <t xml:space="preserve">Puntaje SUS en pruebas de usabilidad</t>
  </si>
  <si>
    <t xml:space="preserve">LEYENDA DE RIESGO:</t>
  </si>
  <si>
    <t xml:space="preserve">🔴 ALTO = Acción inmediata</t>
  </si>
  <si>
    <t xml:space="preserve">🟡 MEDIO = Monitorear</t>
  </si>
  <si>
    <t xml:space="preserve">🟢 BAJO = Aceptable</t>
  </si>
  <si>
    <t xml:space="preserve">👤 ACTORES &amp; ROLES — ¿Quién usa tu app y para qué?</t>
  </si>
  <si>
    <t xml:space="preserve">Define cada actor con sus necesidades reales — Basado en Design Thinking &amp; Jobs To Be Done</t>
  </si>
  <si>
    <t xml:space="preserve">Actor / Perfil</t>
  </si>
  <si>
    <t xml:space="preserve">Tipo</t>
  </si>
  <si>
    <t xml:space="preserve">Job To Be Done
(¿Qué trabajo contrata?)</t>
  </si>
  <si>
    <t xml:space="preserve">Pain Points
(Frustraciones actuales)</t>
  </si>
  <si>
    <t xml:space="preserve">Gains
(Qué ganaría con tu app)</t>
  </si>
  <si>
    <t xml:space="preserve">Frecuencia uso</t>
  </si>
  <si>
    <t xml:space="preserve">Nivel digital</t>
  </si>
  <si>
    <t xml:space="preserve">Prioridad</t>
  </si>
  <si>
    <t xml:space="preserve">B2C directo</t>
  </si>
  <si>
    <t xml:space="preserve">Saber cuánto puede apartar cada mes para comprar un computador o una moto</t>
  </si>
  <si>
    <t xml:space="preserve">Ingresos que cambian cada mes; no sabe si le alcanza ni cuándo llegará a la meta</t>
  </si>
  <si>
    <t xml:space="preserve">Plan mensual concreto y fecha estimada de su meta</t>
  </si>
  <si>
    <t xml:space="preserve">Semanal (registro casi diario)</t>
  </si>
  <si>
    <t xml:space="preserve">Medio-Alto</t>
  </si>
  <si>
    <t xml:space="preserve">Alta</t>
  </si>
  <si>
    <t xml:space="preserve">Ordenar sus deudas y construir un fondo de emergencia</t>
  </si>
  <si>
    <t xml:space="preserve">No sabe cuánto le cuesta realmente un crédito; la cuota oculta el costo total</t>
  </si>
  <si>
    <t xml:space="preserve">Costo total e intereses visibles antes de decidir</t>
  </si>
  <si>
    <t xml:space="preserve">Semanal</t>
  </si>
  <si>
    <t xml:space="preserve">Medio</t>
  </si>
  <si>
    <t xml:space="preserve">Estimar cuánto puede ahorrar sin quedarse corto en un mes malo</t>
  </si>
  <si>
    <t xml:space="preserve">Meses buenos y malos; miedo a comprometerse con un ahorro fijo</t>
  </si>
  <si>
    <t xml:space="preserve">Capacidad prudente (80 % de la estimada) calculada con reglas claras</t>
  </si>
  <si>
    <t xml:space="preserve">Prospecto</t>
  </si>
  <si>
    <t xml:space="preserve">Entender si la app le sirve antes de entregar sus datos</t>
  </si>
  <si>
    <t xml:space="preserve">Desconfianza de dar datos financieros a una app</t>
  </si>
  <si>
    <t xml:space="preserve">Propuesta clara, privacidad explicada y registro en minutos</t>
  </si>
  <si>
    <t xml:space="preserve">Única vez</t>
  </si>
  <si>
    <t xml:space="preserve">Variado</t>
  </si>
  <si>
    <t xml:space="preserve">Media</t>
  </si>
  <si>
    <t xml:space="preserve">Interno</t>
  </si>
  <si>
    <t xml:space="preserve">Mantener la tasa de usura vigente, los límites de IA y el servidor funcionando</t>
  </si>
  <si>
    <t xml:space="preserve">Plan gratis que se duerme; datos de referencia que cambian cada mes</t>
  </si>
  <si>
    <t xml:space="preserve">Configuración central (app_settings) y despliegue automático</t>
  </si>
  <si>
    <t xml:space="preserve">Mensual</t>
  </si>
  <si>
    <t xml:space="preserve">Alto</t>
  </si>
  <si>
    <t xml:space="preserve">Sistema / API</t>
  </si>
  <si>
    <t xml:space="preserve">Redactar explicaciones y responder preguntas con el contexto que entrega el backend</t>
  </si>
  <si>
    <t xml:space="preserve">Puede inventar cifras si recibe datos incompletos</t>
  </si>
  <si>
    <t xml:space="preserve">Contexto calculado y cerrado; respuestas verificables</t>
  </si>
  <si>
    <t xml:space="preserve">Eventos (cada consulta)</t>
  </si>
  <si>
    <t xml:space="preserve">N/A (sistema)</t>
  </si>
  <si>
    <t xml:space="preserve">Sistema / SDK</t>
  </si>
  <si>
    <t xml:space="preserve">Extraer el texto de un recibo fotografiado</t>
  </si>
  <si>
    <t xml:space="preserve">Fotos borrosas o formatos de recibo distintos</t>
  </si>
  <si>
    <t xml:space="preserve">Prellenado de monto, fecha y comercio para revisar</t>
  </si>
  <si>
    <t xml:space="preserve">Eventos (cada foto)</t>
  </si>
  <si>
    <t xml:space="preserve">Baja (P2)</t>
  </si>
  <si>
    <t xml:space="preserve">🎭 PLANTILLA USER PERSONA — Completa una por cada actor clave</t>
  </si>
  <si>
    <t xml:space="preserve">Nombre ficticio del persona:</t>
  </si>
  <si>
    <t xml:space="preserve">Laura, la estudiante que trabaja (persona ficticia)</t>
  </si>
  <si>
    <t xml:space="preserve">Edad / Género:</t>
  </si>
  <si>
    <t xml:space="preserve">22 años / Mujer</t>
  </si>
  <si>
    <t xml:space="preserve">Ocupación:</t>
  </si>
  <si>
    <t xml:space="preserve">Estudiante de tecnología y vendedora por turnos</t>
  </si>
  <si>
    <t xml:space="preserve">Frase que lo define:</t>
  </si>
  <si>
    <t xml:space="preserve">«Quiero comprarme un portátil, pero cada mes gano distinto.»</t>
  </si>
  <si>
    <t xml:space="preserve">Dispositivo principal:</t>
  </si>
  <si>
    <t xml:space="preserve">Android de gama media</t>
  </si>
  <si>
    <t xml:space="preserve">Contexto de uso:</t>
  </si>
  <si>
    <t xml:space="preserve">En el bus o en la noche, revisando cuánto gastó en la semana</t>
  </si>
  <si>
    <t xml:space="preserve">Objetivo principal con la app:</t>
  </si>
  <si>
    <t xml:space="preserve">Saber cuánto apartar cada mes y cuándo tendrá el portátil</t>
  </si>
  <si>
    <t xml:space="preserve">Mayor frustración actual:</t>
  </si>
  <si>
    <t xml:space="preserve">Ahorra lo que sobra y nunca sobra; no sabe si le conviene comprar a cuotas</t>
  </si>
  <si>
    <t xml:space="preserve">Cómo mide el éxito:</t>
  </si>
  <si>
    <t xml:space="preserve">Si en un mes cumplió los aportes sin quedarse sin dinero para el transporte</t>
  </si>
  <si>
    <t xml:space="preserve">Cita real de entrevista:</t>
  </si>
  <si>
    <t xml:space="preserve">[Pendiente: cita textual de una entrevista real — se realizan en el Sprint 2]</t>
  </si>
  <si>
    <t xml:space="preserve">⚡ INVENTARIO DE FUNCIONES — Todas las capacidades de tu app</t>
  </si>
  <si>
    <t xml:space="preserve">Usa MoSCoW para priorizar · M=Must · S=Should · C=Could · W=Won't · MVP=Mínimo Viable · V2=Versión 2</t>
  </si>
  <si>
    <t xml:space="preserve">Función / Feature</t>
  </si>
  <si>
    <t xml:space="preserve">Módulo</t>
  </si>
  <si>
    <t xml:space="preserve">Actor beneficiado</t>
  </si>
  <si>
    <t xml:space="preserve">Historia de usuario
(Como [actor], quiero [función] para [beneficio])</t>
  </si>
  <si>
    <t xml:space="preserve">Prioridad
MoSCoW</t>
  </si>
  <si>
    <t xml:space="preserve">MVP
(S/N)</t>
  </si>
  <si>
    <t xml:space="preserve">Pantallas
relacionadas</t>
  </si>
  <si>
    <t xml:space="preserve">Esfuerzo
(1-5)</t>
  </si>
  <si>
    <t xml:space="preserve">Estado</t>
  </si>
  <si>
    <t xml:space="preserve">Registro e inicio de sesión</t>
  </si>
  <si>
    <t xml:space="preserve">Autenticación</t>
  </si>
  <si>
    <t xml:space="preserve">Visitante nuevo, todos</t>
  </si>
  <si>
    <t xml:space="preserve">Como visitante nuevo, quiero crear mi cuenta con correo y contraseña para guardar mis datos de forma segura</t>
  </si>
  <si>
    <t xml:space="preserve">M</t>
  </si>
  <si>
    <t xml:space="preserve">S</t>
  </si>
  <si>
    <t xml:space="preserve">Bienvenida, Registro, Inicio de sesión</t>
  </si>
  <si>
    <t xml:space="preserve">✅ Terminado</t>
  </si>
  <si>
    <t xml:space="preserve">Recuperar contraseña con código</t>
  </si>
  <si>
    <t xml:space="preserve">Todos</t>
  </si>
  <si>
    <t xml:space="preserve">Como usuario, quiero recuperar mi contraseña con un código al correo para no perder el acceso</t>
  </si>
  <si>
    <t xml:space="preserve">Olvidé mi contraseña, Nueva contraseña</t>
  </si>
  <si>
    <t xml:space="preserve">🟡 Parcial (falta proveedor de correo)</t>
  </si>
  <si>
    <t xml:space="preserve">Perfil financiero</t>
  </si>
  <si>
    <t xml:space="preserve">Cuenta</t>
  </si>
  <si>
    <t xml:space="preserve">Independiente, todos</t>
  </si>
  <si>
    <t xml:space="preserve">Como independiente, quiero registrar ingreso, gastos fijos y día de pago para estimar cuánto puedo ahorrar</t>
  </si>
  <si>
    <t xml:space="preserve">Onboarding, Perfil financiero</t>
  </si>
  <si>
    <t xml:space="preserve">Consentimientos y eliminar cuenta</t>
  </si>
  <si>
    <t xml:space="preserve">Privacidad</t>
  </si>
  <si>
    <t xml:space="preserve">Como usuario, quiero decidir si uso IA y OCR y poder borrar mi cuenta para controlar mis datos</t>
  </si>
  <si>
    <t xml:space="preserve">Registro, Perfil, Eliminar cuenta</t>
  </si>
  <si>
    <t xml:space="preserve">Movimientos</t>
  </si>
  <si>
    <t xml:space="preserve">Estudiante que trabaja</t>
  </si>
  <si>
    <t xml:space="preserve">Como estudiante que trabaja, quiero registrar ingresos y gastos con categoría para saber en qué se va mi dinero</t>
  </si>
  <si>
    <t xml:space="preserve">Nuevo movimiento, Movimientos</t>
  </si>
  <si>
    <t xml:space="preserve">📋 Planificado (Sprint 2)</t>
  </si>
  <si>
    <t xml:space="preserve">Panel mensual y capacidad de ahorro</t>
  </si>
  <si>
    <t xml:space="preserve">Panel</t>
  </si>
  <si>
    <t xml:space="preserve">Independiente</t>
  </si>
  <si>
    <t xml:space="preserve">Como independiente, quiero ver mi capacidad de ahorro prudente para decidir cuánto apartar</t>
  </si>
  <si>
    <t xml:space="preserve">Inicio</t>
  </si>
  <si>
    <t xml:space="preserve">🟡 Parcial (base perfil)</t>
  </si>
  <si>
    <t xml:space="preserve">Metas múltiples con aportes</t>
  </si>
  <si>
    <t xml:space="preserve">Metas</t>
  </si>
  <si>
    <t xml:space="preserve">Empleado joven, estudiante</t>
  </si>
  <si>
    <t xml:space="preserve">Como empleado joven, quiero crear varias metas con valor, fecha y prioridad para repartir mi ahorro</t>
  </si>
  <si>
    <t xml:space="preserve">Metas, Nueva meta, Detalle de meta</t>
  </si>
  <si>
    <t xml:space="preserve">📋 Planificado (Sprint 3)</t>
  </si>
  <si>
    <t xml:space="preserve">Simulador ahorro vs. crédito vs. mixto</t>
  </si>
  <si>
    <t xml:space="preserve">Simulador</t>
  </si>
  <si>
    <t xml:space="preserve">Empleado joven</t>
  </si>
  <si>
    <t xml:space="preserve">Como empleado joven, quiero comparar ahorrar y financiar para conocer el costo total antes de endeudarme</t>
  </si>
  <si>
    <t xml:space="preserve">Simulador, Resultados</t>
  </si>
  <si>
    <t xml:space="preserve">Historial con filtros y categorías propias</t>
  </si>
  <si>
    <t xml:space="preserve">Como usuario, quiero filtrar mis movimientos por mes y categoría para encontrar un gasto</t>
  </si>
  <si>
    <t xml:space="preserve">Deudas</t>
  </si>
  <si>
    <t xml:space="preserve">Como empleado joven, quiero registrar mis deudas y sus pagos para ver cuánto debo y cuándo termino</t>
  </si>
  <si>
    <t xml:space="preserve">Deudas, Nuevo pago</t>
  </si>
  <si>
    <t xml:space="preserve">Mentor IA: diagnóstico y plan</t>
  </si>
  <si>
    <t xml:space="preserve">IA</t>
  </si>
  <si>
    <t xml:space="preserve">Como usuario, quiero que el mentor explique mi situación con mis cifras para saber qué hacer</t>
  </si>
  <si>
    <t xml:space="preserve">Asistente</t>
  </si>
  <si>
    <t xml:space="preserve">Tasa de usura vigente</t>
  </si>
  <si>
    <t xml:space="preserve">Configuración</t>
  </si>
  <si>
    <t xml:space="preserve">Administrador</t>
  </si>
  <si>
    <t xml:space="preserve">Como administrador, quiero registrar la tasa de usura con su fecha para que el simulador avise bien</t>
  </si>
  <si>
    <t xml:space="preserve">Configuración (servidor)</t>
  </si>
  <si>
    <t xml:space="preserve">Chat con el mentor</t>
  </si>
  <si>
    <t xml:space="preserve">Como usuario, quiero hacer preguntas en lenguaje natural para entender una simulación</t>
  </si>
  <si>
    <t xml:space="preserve">C</t>
  </si>
  <si>
    <t xml:space="preserve">N</t>
  </si>
  <si>
    <t xml:space="preserve">📋 Planificado</t>
  </si>
  <si>
    <t xml:space="preserve">Leer recibos con OCR</t>
  </si>
  <si>
    <t xml:space="preserve">OCR</t>
  </si>
  <si>
    <t xml:space="preserve">Como estudiante, quiero fotografiar un recibo para no escribir el gasto a mano</t>
  </si>
  <si>
    <t xml:space="preserve">Cámara, Revisar datos</t>
  </si>
  <si>
    <t xml:space="preserve">📋 Planificado (P2)</t>
  </si>
  <si>
    <t xml:space="preserve">Modo sin conexión con sincronización</t>
  </si>
  <si>
    <t xml:space="preserve">Infraestructura</t>
  </si>
  <si>
    <t xml:space="preserve">Como usuario, quiero registrar gastos sin internet para no perderlos</t>
  </si>
  <si>
    <t xml:space="preserve">Toda la app</t>
  </si>
  <si>
    <t xml:space="preserve">Guardar y comparar escenarios</t>
  </si>
  <si>
    <t xml:space="preserve">Como empleado joven, quiero guardar simulaciones para compararlas después</t>
  </si>
  <si>
    <t xml:space="preserve">Simulador, Escenarios</t>
  </si>
  <si>
    <t xml:space="preserve">Modo oscuro/claro y animaciones</t>
  </si>
  <si>
    <t xml:space="preserve">Experiencia</t>
  </si>
  <si>
    <t xml:space="preserve">Como usuario, quiero elegir el modo de color para usar la app a gusto</t>
  </si>
  <si>
    <t xml:space="preserve">Perfil, toda la app</t>
  </si>
  <si>
    <t xml:space="preserve">Hitos de ahorro (gamificación moderada)</t>
  </si>
  <si>
    <t xml:space="preserve">Como usuario, quiero ver hitos al avanzar en una meta para mantener el hábito</t>
  </si>
  <si>
    <t xml:space="preserve">Conexión con bancos</t>
  </si>
  <si>
    <t xml:space="preserve">Integraciones</t>
  </si>
  <si>
    <t xml:space="preserve">Won't: fuera del alcance académico (seguridad y costos de integración)</t>
  </si>
  <si>
    <t xml:space="preserve">W</t>
  </si>
  <si>
    <t xml:space="preserve">—</t>
  </si>
  <si>
    <t xml:space="preserve">❌ Fuera de alcance</t>
  </si>
  <si>
    <t xml:space="preserve">Versión iOS y suscripción prémium</t>
  </si>
  <si>
    <t xml:space="preserve">Plataforma / Negocio</t>
  </si>
  <si>
    <t xml:space="preserve">Won't: la primera versión es solo Android y gratuita</t>
  </si>
  <si>
    <t xml:space="preserve">Resumen MoSCoW</t>
  </si>
  <si>
    <t xml:space="preserve">Must</t>
  </si>
  <si>
    <t xml:space="preserve">Regla de la guía: máximo 40 % Must</t>
  </si>
  <si>
    <t xml:space="preserve">🔌 APIS &amp; CONEXIONES — Todos los sistemas externos de tu app</t>
  </si>
  <si>
    <t xml:space="preserve">API / Sistema</t>
  </si>
  <si>
    <t xml:space="preserve">Proveedor / URL</t>
  </si>
  <si>
    <t xml:space="preserve">Función en la app</t>
  </si>
  <si>
    <t xml:space="preserve">Costo / Plan</t>
  </si>
  <si>
    <t xml:space="preserve">Alternativa</t>
  </si>
  <si>
    <t xml:space="preserve">Criticidad</t>
  </si>
  <si>
    <t xml:space="preserve">API propia ASCENDX</t>
  </si>
  <si>
    <t xml:space="preserve">Backend REST</t>
  </si>
  <si>
    <t xml:space="preserve">ascendx-api.onrender.com/api</t>
  </si>
  <si>
    <t xml:space="preserve">Autenticación, perfil, consentimientos y simulador</t>
  </si>
  <si>
    <t xml:space="preserve">JWT 15 min + token de renovación rotativo</t>
  </si>
  <si>
    <t xml:space="preserve">Incluido en Render</t>
  </si>
  <si>
    <t xml:space="preserve">— (núcleo del sistema)</t>
  </si>
  <si>
    <t xml:space="preserve">🔴 CRÍTICA</t>
  </si>
  <si>
    <t xml:space="preserve">Render (Web Service)</t>
  </si>
  <si>
    <t xml:space="preserve">Hosting</t>
  </si>
  <si>
    <t xml:space="preserve">render.com</t>
  </si>
  <si>
    <t xml:space="preserve">Ejecuta la API y la despliega desde GitHub</t>
  </si>
  <si>
    <t xml:space="preserve">Cuenta vinculada a GitHub</t>
  </si>
  <si>
    <t xml:space="preserve">Gratis: 750 h/mes; se duerme tras 15 min sin uso</t>
  </si>
  <si>
    <t xml:space="preserve">Railway, Fly.io</t>
  </si>
  <si>
    <t xml:space="preserve">Neon PostgreSQL</t>
  </si>
  <si>
    <t xml:space="preserve">neon.com</t>
  </si>
  <si>
    <t xml:space="preserve">Usuarios, movimientos, metas, deudas y escenarios</t>
  </si>
  <si>
    <t xml:space="preserve">Usuario y contraseña con SSL (DATABASE_URL)</t>
  </si>
  <si>
    <t xml:space="preserve">Gratis: 1 GB por proyecto, 100 CU-h/mes</t>
  </si>
  <si>
    <t xml:space="preserve">Supabase, Render Postgres</t>
  </si>
  <si>
    <t xml:space="preserve">Expo SecureStore</t>
  </si>
  <si>
    <t xml:space="preserve">Almacenamiento seguro local</t>
  </si>
  <si>
    <t xml:space="preserve">docs.expo.dev</t>
  </si>
  <si>
    <t xml:space="preserve">Guardar el token de renovación cifrado (Android Keystore)</t>
  </si>
  <si>
    <t xml:space="preserve">Del sistema operativo</t>
  </si>
  <si>
    <t xml:space="preserve">Gratis</t>
  </si>
  <si>
    <t xml:space="preserve">Pedir inicio de sesión cada vez</t>
  </si>
  <si>
    <t xml:space="preserve">Proveedor de IA (por seleccionar)</t>
  </si>
  <si>
    <t xml:space="preserve">IA generativa</t>
  </si>
  <si>
    <t xml:space="preserve">Anthropic u OpenAI</t>
  </si>
  <si>
    <t xml:space="preserve">Diagnóstico, plan y chat del mentor</t>
  </si>
  <si>
    <t xml:space="preserve">API key solo en el servidor</t>
  </si>
  <si>
    <t xml:space="preserve">Pago por uso; tope diario por usuario y mensual</t>
  </si>
  <si>
    <t xml:space="preserve">El otro proveedor; mensajes sin IA</t>
  </si>
  <si>
    <t xml:space="preserve">🟡 IMPORTANTE</t>
  </si>
  <si>
    <t xml:space="preserve">Proveedor de correo (por seleccionar)</t>
  </si>
  <si>
    <t xml:space="preserve">Email transaccional</t>
  </si>
  <si>
    <t xml:space="preserve">Resend o SendGrid</t>
  </si>
  <si>
    <t xml:space="preserve">Enviar el código para recuperar la contraseña</t>
  </si>
  <si>
    <t xml:space="preserve">API key en el servidor</t>
  </si>
  <si>
    <t xml:space="preserve">Plan gratis con límite diario</t>
  </si>
  <si>
    <t xml:space="preserve">Mostrar el código solo en desarrollo</t>
  </si>
  <si>
    <t xml:space="preserve">Google ML Kit Text Recognition</t>
  </si>
  <si>
    <t xml:space="preserve">OCR en el dispositivo</t>
  </si>
  <si>
    <t xml:space="preserve">developers.google.com/ml-kit</t>
  </si>
  <si>
    <t xml:space="preserve">Leer el texto de recibos</t>
  </si>
  <si>
    <t xml:space="preserve">No requiere (local)</t>
  </si>
  <si>
    <t xml:space="preserve">Tesseract en la API</t>
  </si>
  <si>
    <t xml:space="preserve">🟢 OPCIONAL (P2)</t>
  </si>
  <si>
    <t xml:space="preserve">Expo EAS Build</t>
  </si>
  <si>
    <t xml:space="preserve">Compilación</t>
  </si>
  <si>
    <t xml:space="preserve">expo.dev</t>
  </si>
  <si>
    <t xml:space="preserve">Generar la APK de Android</t>
  </si>
  <si>
    <t xml:space="preserve">Cuenta de Expo</t>
  </si>
  <si>
    <t xml:space="preserve">Plan gratis con cola de compilación</t>
  </si>
  <si>
    <t xml:space="preserve">Compilar con Android Studio</t>
  </si>
  <si>
    <t xml:space="preserve">GitHub + GitHub Actions</t>
  </si>
  <si>
    <t xml:space="preserve">Repositorio y CI</t>
  </si>
  <si>
    <t xml:space="preserve">github.com/Edwin5659w/ASCENDX-AI</t>
  </si>
  <si>
    <t xml:space="preserve">Control de versiones, pruebas automáticas y despliegue</t>
  </si>
  <si>
    <t xml:space="preserve">Cuenta de GitHub</t>
  </si>
  <si>
    <t xml:space="preserve">GitLab</t>
  </si>
  <si>
    <t xml:space="preserve">⚠️ ANÁLISIS DE RIESGOS — Anticipa problemas antes de que ocurran</t>
  </si>
  <si>
    <t xml:space="preserve">Probabilidad: 1=Muy baja → 5=Muy alta  |  Impacto: 1=Mínimo → 5=Catastrófico  |  Nivel Riesgo = Prob × Impacto</t>
  </si>
  <si>
    <t xml:space="preserve">⚖️ RIESGOS LEGALES Y DE CUMPLIMIENTO</t>
  </si>
  <si>
    <t xml:space="preserve">Riesgo</t>
  </si>
  <si>
    <t xml:space="preserve">Categoría</t>
  </si>
  <si>
    <t xml:space="preserve">Prob
(1-5)</t>
  </si>
  <si>
    <t xml:space="preserve">Impacto
(1-5)</t>
  </si>
  <si>
    <t xml:space="preserve">Nivel
Riesgo</t>
  </si>
  <si>
    <t xml:space="preserve">Plan de Mitigación</t>
  </si>
  <si>
    <t xml:space="preserve">Indicador / Control</t>
  </si>
  <si>
    <t xml:space="preserve">Si se tratan datos financieros sin autorización válida, se incumple la Ley 1581 de 2012</t>
  </si>
  <si>
    <t xml:space="preserve">Legal</t>
  </si>
  <si>
    <t xml:space="preserve">Consentimientos separados y versionados (términos, datos, IA, OCR); eliminar cuenta; política de privacidad</t>
  </si>
  <si>
    <t xml:space="preserve">Tabla consents + prueba de registro</t>
  </si>
  <si>
    <t xml:space="preserve">Si se envían datos personales al proveedor de IA, se exponen sin necesidad</t>
  </si>
  <si>
    <t xml:space="preserve">Enviar solo totales calculados, sin nombre ni correo; consentimiento de IA aparte</t>
  </si>
  <si>
    <t xml:space="preserve">Revisión del contexto enviado</t>
  </si>
  <si>
    <t xml:space="preserve">Si la app se presenta como asesoría financiera profesional, genera responsabilidad</t>
  </si>
  <si>
    <t xml:space="preserve">Avisos de herramienta educativa, supuestos visibles, sin prometer créditos ni rendimientos</t>
  </si>
  <si>
    <t xml:space="preserve">Revisión de textos por sprint</t>
  </si>
  <si>
    <t xml:space="preserve">Si se usa código o marca de terceros sin licencia, hay reclamos de propiedad intelectual</t>
  </si>
  <si>
    <t xml:space="preserve">Dependencias de código abierto (MIT/Apache); logo propio del autor</t>
  </si>
  <si>
    <t xml:space="preserve">Revisión de licencias</t>
  </si>
  <si>
    <t xml:space="preserve">Si la tasa de usura queda desactualizada, el simulador avisa mal</t>
  </si>
  <si>
    <t xml:space="preserve">Tasa con fecha de vigencia en app_settings y revisión mensual</t>
  </si>
  <si>
    <t xml:space="preserve">Fecha visible en el simulador</t>
  </si>
  <si>
    <t xml:space="preserve">⚙️ RIESGOS OPERATIVOS</t>
  </si>
  <si>
    <t xml:space="preserve">Si el servidor gratis de Render está dormido o caído, el usuario no puede entrar</t>
  </si>
  <si>
    <t xml:space="preserve">Operativo</t>
  </si>
  <si>
    <t xml:space="preserve">La app lo despierta al abrir; mensaje claro de espera; plan pago antes de lanzar</t>
  </si>
  <si>
    <t xml:space="preserve">Prueba de /api/health</t>
  </si>
  <si>
    <t xml:space="preserve">Si se pierden datos en Neon, el usuario pierde su historial</t>
  </si>
  <si>
    <t xml:space="preserve">Restauración por historial de Neon; migraciones versionadas en Git</t>
  </si>
  <si>
    <t xml:space="preserve">Prueba de restauración por sprint</t>
  </si>
  <si>
    <t xml:space="preserve">Si el costo de la IA crece, el proyecto no se sostiene</t>
  </si>
  <si>
    <t xml:space="preserve">Tope diario por usuario y mensual; modelo económico; medir desde el inicio</t>
  </si>
  <si>
    <t xml:space="preserve">Consumo semanal</t>
  </si>
  <si>
    <t xml:space="preserve">Si un proveedor cambia o elimina su plan gratis, hay que migrar</t>
  </si>
  <si>
    <t xml:space="preserve">PostgreSQL estándar y API propia: se cambia de proveedor sin rehacer la app</t>
  </si>
  <si>
    <t xml:space="preserve">Alternativas documentadas (Hoja 5)</t>
  </si>
  <si>
    <t xml:space="preserve">Si el único desarrollador no tiene tiempo, el MVP no se termina</t>
  </si>
  <si>
    <t xml:space="preserve">MoSCoW, recorte de los Could, documentación continua</t>
  </si>
  <si>
    <t xml:space="preserve">Velocidad por sprint</t>
  </si>
  <si>
    <t xml:space="preserve">Si se pierde el código, se pierde el trabajo</t>
  </si>
  <si>
    <t xml:space="preserve">GitHub con commits frecuentes en main y develop</t>
  </si>
  <si>
    <t xml:space="preserve">Commits por semana</t>
  </si>
  <si>
    <t xml:space="preserve">⚡ RIESGOS FUNCIONALES Y TÉCNICOS</t>
  </si>
  <si>
    <t xml:space="preserve">Si la IA inventa cifras o recomendaciones, el usuario decide mal</t>
  </si>
  <si>
    <t xml:space="preserve">Funcional</t>
  </si>
  <si>
    <t xml:space="preserve">Cifras solo del backend; la IA no accede a la BD; banco de pruebas de respuestas</t>
  </si>
  <si>
    <t xml:space="preserve">Banco de pruebas de IA</t>
  </si>
  <si>
    <t xml:space="preserve">Si una fórmula financiera está mal, todas las recomendaciones fallan</t>
  </si>
  <si>
    <t xml:space="preserve">Técnico</t>
  </si>
  <si>
    <t xml:space="preserve">finance-core con 49 pruebas y 99 % de cobertura; casos verificados a mano</t>
  </si>
  <si>
    <t xml:space="preserve">Cobertura ≥ 90 %</t>
  </si>
  <si>
    <t xml:space="preserve">Si un usuario ve datos de otro, hay fuga de información</t>
  </si>
  <si>
    <t xml:space="preserve">Filtro por user_id del token en cada consulta; pruebas de acceso cruzado</t>
  </si>
  <si>
    <t xml:space="preserve">Caso TC-006</t>
  </si>
  <si>
    <t xml:space="preserve">Si el OCR lee mal un recibo, se guardan montos erróneos</t>
  </si>
  <si>
    <t xml:space="preserve">Revisión obligatoria de los campos antes de guardar</t>
  </si>
  <si>
    <t xml:space="preserve">% de campos corregidos</t>
  </si>
  <si>
    <t xml:space="preserve">Si ML Kit no es compatible con Expo, no hay lectura de recibos</t>
  </si>
  <si>
    <t xml:space="preserve">Prueba técnica en un development build; plan B con Tesseract en la API</t>
  </si>
  <si>
    <t xml:space="preserve">Prueba técnica (Sprint 3)</t>
  </si>
  <si>
    <t xml:space="preserve">Si al sincronizar se duplican movimientos, los totales quedan mal</t>
  </si>
  <si>
    <t xml:space="preserve">client_op_id único por usuario y operaciones idempotentes</t>
  </si>
  <si>
    <t xml:space="preserve">Prueba de reintentos</t>
  </si>
  <si>
    <t xml:space="preserve">SEMÁFORO DE RIESGO:</t>
  </si>
  <si>
    <t xml:space="preserve">1-5: 🟢 BAJO — Aceptable</t>
  </si>
  <si>
    <t xml:space="preserve">6-14: 🟡 MEDIO — Monitorear</t>
  </si>
  <si>
    <t xml:space="preserve">15-25: 🔴 ALTO — Acción inmediata</t>
  </si>
  <si>
    <t xml:space="preserve">📊 KPIs &amp; MÉTRICAS — ¿Cómo sabrás si tu app tiene éxito?</t>
  </si>
  <si>
    <t xml:space="preserve">Metas para el piloto con usuarios de prueba (mes 1 = primer mes de pruebas). Herramientas «planificadas» se configuran en el Sprint 4.</t>
  </si>
  <si>
    <t xml:space="preserve">📱 MÉTRICAS DE ADOPCIÓN Y USO</t>
  </si>
  <si>
    <t xml:space="preserve">KPI / Métrica</t>
  </si>
  <si>
    <t xml:space="preserve">Descripción</t>
  </si>
  <si>
    <t xml:space="preserve">Meta
Mes 1</t>
  </si>
  <si>
    <t xml:space="preserve">Meta
Mes 3</t>
  </si>
  <si>
    <t xml:space="preserve">Meta
Mes 6</t>
  </si>
  <si>
    <t xml:space="preserve">Herramienta de medición</t>
  </si>
  <si>
    <t xml:space="preserve">DAU — Daily Active Users</t>
  </si>
  <si>
    <t xml:space="preserve">Usuarios activos por día</t>
  </si>
  <si>
    <t xml:space="preserve">25</t>
  </si>
  <si>
    <t xml:space="preserve">50</t>
  </si>
  <si>
    <t xml:space="preserve">Tabla de sesiones de la API (planificado: PostHog)</t>
  </si>
  <si>
    <t xml:space="preserve">MAU — Monthly Active Users</t>
  </si>
  <si>
    <t xml:space="preserve">Usuarios activos por mes (≥1 sesión)</t>
  </si>
  <si>
    <t xml:space="preserve">15</t>
  </si>
  <si>
    <t xml:space="preserve">40</t>
  </si>
  <si>
    <t xml:space="preserve">80</t>
  </si>
  <si>
    <t xml:space="preserve">Tabla de sesiones de la API</t>
  </si>
  <si>
    <t xml:space="preserve">Tasa de retención D1</t>
  </si>
  <si>
    <t xml:space="preserve">% usuarios que vuelven al día siguiente</t>
  </si>
  <si>
    <t xml:space="preserve">≥ 40%</t>
  </si>
  <si>
    <t xml:space="preserve">≥ 45%</t>
  </si>
  <si>
    <t xml:space="preserve">≥ 50%</t>
  </si>
  <si>
    <t xml:space="preserve">Cohortes por fecha de registro (consulta SQL)</t>
  </si>
  <si>
    <t xml:space="preserve">Tasa de retención D7</t>
  </si>
  <si>
    <t xml:space="preserve">% usuarios que vuelven en 7 días</t>
  </si>
  <si>
    <t xml:space="preserve">≥ 20%</t>
  </si>
  <si>
    <t xml:space="preserve">≥ 25%</t>
  </si>
  <si>
    <t xml:space="preserve">≥ 30%</t>
  </si>
  <si>
    <t xml:space="preserve">Tasa de retención D30</t>
  </si>
  <si>
    <t xml:space="preserve">% usuarios que vuelven en 30 días</t>
  </si>
  <si>
    <t xml:space="preserve">≥ 10%</t>
  </si>
  <si>
    <t xml:space="preserve">≥ 15%</t>
  </si>
  <si>
    <t xml:space="preserve">Sesiones por usuario / día</t>
  </si>
  <si>
    <t xml:space="preserve">Cuántas veces abre la app al día</t>
  </si>
  <si>
    <t xml:space="preserve">1,2</t>
  </si>
  <si>
    <t xml:space="preserve">Duración promedio sesión</t>
  </si>
  <si>
    <t xml:space="preserve">Minutos por sesión promedio</t>
  </si>
  <si>
    <t xml:space="preserve">≥ 2 min</t>
  </si>
  <si>
    <t xml:space="preserve">≥ 3 min</t>
  </si>
  <si>
    <t xml:space="preserve">Eventos de la app (planificado)</t>
  </si>
  <si>
    <t xml:space="preserve">Churn Rate</t>
  </si>
  <si>
    <t xml:space="preserve">% usuarios que dejan la app por mes</t>
  </si>
  <si>
    <t xml:space="preserve">≤ 20%</t>
  </si>
  <si>
    <t xml:space="preserve">≤ 15%</t>
  </si>
  <si>
    <t xml:space="preserve">≤ 10%</t>
  </si>
  <si>
    <t xml:space="preserve">Cálculo: (perdidos / inicio)</t>
  </si>
  <si>
    <t xml:space="preserve">💰 MÉTRICAS DE NEGOCIO (PIRATE METRICS — AARRR)</t>
  </si>
  <si>
    <t xml:space="preserve">Acquisition — Costo por adquisición (CAC)</t>
  </si>
  <si>
    <t xml:space="preserve">$ invertido / nuevo usuario</t>
  </si>
  <si>
    <t xml:space="preserve">$0</t>
  </si>
  <si>
    <t xml:space="preserve">Adquisición orgánica: universidad y referidos</t>
  </si>
  <si>
    <t xml:space="preserve">Activation — Tasa de activación</t>
  </si>
  <si>
    <t xml:space="preserve">% usuarios que completan onboarding</t>
  </si>
  <si>
    <t xml:space="preserve">≥ 60%</t>
  </si>
  <si>
    <t xml:space="preserve">≥ 70%</t>
  </si>
  <si>
    <t xml:space="preserve">≥ 75%</t>
  </si>
  <si>
    <t xml:space="preserve">Usuarios con perfil financiero completo / registrados</t>
  </si>
  <si>
    <t xml:space="preserve">Retention — Retención 30 días</t>
  </si>
  <si>
    <t xml:space="preserve">% activos a los 30 días</t>
  </si>
  <si>
    <t xml:space="preserve">Cohortes (consulta SQL)</t>
  </si>
  <si>
    <t xml:space="preserve">Revenue — MRR (Ingresos Recurrentes)</t>
  </si>
  <si>
    <t xml:space="preserve">$ mensuales recurrentes de suscripciones</t>
  </si>
  <si>
    <t xml:space="preserve">N/A en fase académica (sin cobro)</t>
  </si>
  <si>
    <t xml:space="preserve">Revenue — ARPU</t>
  </si>
  <si>
    <t xml:space="preserve">Ingreso promedio por usuario</t>
  </si>
  <si>
    <t xml:space="preserve">N/A en fase académica</t>
  </si>
  <si>
    <t xml:space="preserve">Revenue — LTV (Valor de vida del cliente)</t>
  </si>
  <si>
    <t xml:space="preserve">Ingreso total esperado de 1 cliente</t>
  </si>
  <si>
    <t xml:space="preserve">Referral — NPS (Net Promoter Score)</t>
  </si>
  <si>
    <t xml:space="preserve">¿Recomendarías la app? (0-10)</t>
  </si>
  <si>
    <t xml:space="preserve">≥ 30</t>
  </si>
  <si>
    <t xml:space="preserve">≥ 40</t>
  </si>
  <si>
    <t xml:space="preserve">≥ 50</t>
  </si>
  <si>
    <t xml:space="preserve">Encuesta al final de la prueba de usabilidad</t>
  </si>
  <si>
    <t xml:space="preserve">Referral — Tasa de referidos</t>
  </si>
  <si>
    <t xml:space="preserve">% usuarios que traen otro usuario</t>
  </si>
  <si>
    <t xml:space="preserve">Código de invitación (planificado)</t>
  </si>
  <si>
    <t xml:space="preserve">⚡ MÉTRICAS TÉCNICAS Y DE CALIDAD</t>
  </si>
  <si>
    <t xml:space="preserve">Crash Rate</t>
  </si>
  <si>
    <t xml:space="preserve">% de sesiones que terminan en crash</t>
  </si>
  <si>
    <t xml:space="preserve">≤ 1%</t>
  </si>
  <si>
    <t xml:space="preserve">≤ 0.5%</t>
  </si>
  <si>
    <t xml:space="preserve">≤ 0.2%</t>
  </si>
  <si>
    <t xml:space="preserve">Registro de errores de Expo (planificado: Sentry)</t>
  </si>
  <si>
    <t xml:space="preserve">Latencia API promedio</t>
  </si>
  <si>
    <t xml:space="preserve">ms de respuesta del servidor</t>
  </si>
  <si>
    <t xml:space="preserve">≤ 500ms</t>
  </si>
  <si>
    <t xml:space="preserve">≤ 300ms</t>
  </si>
  <si>
    <t xml:space="preserve">Medición de /api/health (16/10/2026: mediana 203 ms, servidor despierto)</t>
  </si>
  <si>
    <t xml:space="preserve">Uptime del servidor</t>
  </si>
  <si>
    <t xml:space="preserve">% de tiempo disponible</t>
  </si>
  <si>
    <t xml:space="preserve">≥ 99%</t>
  </si>
  <si>
    <t xml:space="preserve">≥ 99.5%</t>
  </si>
  <si>
    <t xml:space="preserve">Monitor de /api/health (planificado: UptimeRobot)</t>
  </si>
  <si>
    <t xml:space="preserve">Tiempo de carga pantalla principal</t>
  </si>
  <si>
    <t xml:space="preserve">Segundos hasta ver el dashboard</t>
  </si>
  <si>
    <t xml:space="preserve">≤ 3s</t>
  </si>
  <si>
    <t xml:space="preserve">≤ 2s</t>
  </si>
  <si>
    <t xml:space="preserve">Cronómetro en teléfono real (pendiente)</t>
  </si>
  <si>
    <t xml:space="preserve">Tiempo de sincronización offline</t>
  </si>
  <si>
    <t xml:space="preserve">Segundos para sync al volver online</t>
  </si>
  <si>
    <t xml:space="preserve">N/A</t>
  </si>
  <si>
    <t xml:space="preserve">≤ 10s</t>
  </si>
  <si>
    <t xml:space="preserve">≤ 5s</t>
  </si>
  <si>
    <t xml:space="preserve">P2: modo sin conexión aún no implementado</t>
  </si>
  <si>
    <t xml:space="preserve">App Store Rating</t>
  </si>
  <si>
    <t xml:space="preserve">Calificación promedio en tienda</t>
  </si>
  <si>
    <t xml:space="preserve">≥ 4.0⭐</t>
  </si>
  <si>
    <t xml:space="preserve">Play Console (cuando se publique)</t>
  </si>
  <si>
    <t xml:space="preserve">Reviews negativos resueltos</t>
  </si>
  <si>
    <t xml:space="preserve">% reviews negativos atendidos en 48h</t>
  </si>
  <si>
    <t xml:space="preserve">≥ 85%</t>
  </si>
  <si>
    <t xml:space="preserve">Cobertura de tests</t>
  </si>
  <si>
    <t xml:space="preserve">% del código cubierto por pruebas</t>
  </si>
  <si>
    <t xml:space="preserve">≥ 90% motor</t>
  </si>
  <si>
    <t xml:space="preserve">≥ 60% API</t>
  </si>
  <si>
    <t xml:space="preserve">Vitest --coverage (16/10/2026: motor 99,2 %)</t>
  </si>
  <si>
    <t xml:space="preserve">💰 MODELO COMERCIAL — Lean Canvas + Análisis de Negocio</t>
  </si>
  <si>
    <t xml:space="preserve">🗂️ LEAN CANVAS — Los 9 bloques de tu modelo de negocio</t>
  </si>
  <si>
    <t xml:space="preserve">🎯 PROBLEMA</t>
  </si>
  <si>
    <t xml:space="preserve">💡 SOLUCIÓN</t>
  </si>
  <si>
    <t xml:space="preserve">✨ PROPUESTA DE VALOR</t>
  </si>
  <si>
    <t xml:space="preserve">1. No saben cuánto pueden ahorrar de verdad cada mes.
2. No saben cuándo alcanzarán una meta concreta.
3. No ven el costo total de un crédito: la cuota lo oculta.</t>
  </si>
  <si>
    <t xml:space="preserve">Función 1: capacidad de ahorro prudente calculada con reglas explícitas.
Función 2: metas múltiples con reparto por prioridad y fecha.
Función 3: simulador ahorro vs. crédito vs. mixto con costo total.</t>
  </si>
  <si>
    <t xml:space="preserve">Frase única de diferenciación:
Te dice qué hacer para llegar a tu meta, con cifras verificables, no solo en qué gastaste.</t>
  </si>
  <si>
    <t xml:space="preserve">❌ VENTAJA INJUSTA</t>
  </si>
  <si>
    <t xml:space="preserve">📢 CANALES</t>
  </si>
  <si>
    <t xml:space="preserve">👥 SEGMENTO CLIENTES</t>
  </si>
  <si>
    <t xml:space="preserve">¿Qué no puede copiar un competidor?
Motor de cálculo propio probado y adaptado a Colombia (tasas EA/MV, usura) + mentor de IA que solo usa cifras del sistema + validación con usuarios reales.</t>
  </si>
  <si>
    <t xml:space="preserve">Adquisición: comunidad universitaria, semilleros y redes sociales.
Activación: perfil financiero completo en el primer uso.
Referidos: invitación a compañeros (planificado).</t>
  </si>
  <si>
    <t xml:space="preserve">Early adopters: estudiantes que trabajan y empleados jóvenes en Colombia.
TAM: adultos con ingresos propios en Colombia (por cuantificar con datos del DANE).
SAM: jóvenes de 18 a 30 años con smartphone Android.</t>
  </si>
  <si>
    <t xml:space="preserve">💸 ESTRUCTURA DE COSTOS</t>
  </si>
  <si>
    <t xml:space="preserve">💵 FLUJOS DE INGRESOS</t>
  </si>
  <si>
    <t xml:space="preserve">Hosting: $0/mes (Render y Neon gratis)  |  IA: tope mensual por definir al elegir proveedor
Google Play: pago único al publicar.
Total hoy: $0/mes (sin contar el tiempo de desarrollo).</t>
  </si>
  <si>
    <t xml:space="preserve">Fase académica: $0 (app gratuita).
Hipótesis futura: freemium con plan prémium opcional (más consultas al mentor, reportes, OCR sin límite).
MRR meta: por calcular cuando se conozca el costo real de la IA.</t>
  </si>
  <si>
    <t xml:space="preserve">💡 MODELOS DE MONETIZACIÓN — Elige el que aplica a tu app</t>
  </si>
  <si>
    <t xml:space="preserve">💎 Freemium</t>
  </si>
  <si>
    <t xml:space="preserve">Plan gratis con funciones básicas + plan pago con funciones premium.
✅ Alta adopción inicial
❌ Requiere alta retención para convertir</t>
  </si>
  <si>
    <t xml:space="preserve">[x] Aplica (hipótesis futura)</t>
  </si>
  <si>
    <t xml:space="preserve">📅 Suscripción</t>
  </si>
  <si>
    <t xml:space="preserve">Cobro mensual/anual recurrente. El usuario paga por acceso.
✅ MRR predecible
❌ Alto churn si no hay valor claro</t>
  </si>
  <si>
    <t xml:space="preserve">[ ] Aplica</t>
  </si>
  <si>
    <t xml:space="preserve">💲 Por uso / Pay-per-use</t>
  </si>
  <si>
    <t xml:space="preserve">Cobras por cantidad de uso (transacciones, reportes, usuarios).
✅ Escala con el cliente
❌ Difícil de predecir</t>
  </si>
  <si>
    <t xml:space="preserve">🏢 B2B / Licencia empresa</t>
  </si>
  <si>
    <t xml:space="preserve">Vendes a empresas. Precio por número de usuarios o fincas.
✅ Tickets altos
❌ Ciclo de venta largo</t>
  </si>
  <si>
    <t xml:space="preserve">🤝 Comisión / Marketplace</t>
  </si>
  <si>
    <t xml:space="preserve">Te llevas % de cada transacción intermediada.
✅ Escala automático
❌ Necesita volumen alto</t>
  </si>
  <si>
    <t xml:space="preserve">📢 Publicidad</t>
  </si>
  <si>
    <t xml:space="preserve">Mostrar anuncios a usuarios del plan gratis.
✅ No necesitas convertir
❌ Mala UX, ingresos bajos por usuario</t>
  </si>
  <si>
    <t xml:space="preserve">[ ] No aplica (no se mostrará publicidad de créditos)</t>
  </si>
  <si>
    <t xml:space="preserve">🚀 HOJA DE RUTA MVP — Roadmap Ágil con Sprints de 2 semanas</t>
  </si>
  <si>
    <t xml:space="preserve">Historia de usuario: Como [Actor], quiero [función] para [beneficio] · Criterio: SMART + Definition of Done</t>
  </si>
  <si>
    <t xml:space="preserve">SPRINT 0 — Preparación (13/10/2026)</t>
  </si>
  <si>
    <t xml:space="preserve">ID</t>
  </si>
  <si>
    <t xml:space="preserve">Título</t>
  </si>
  <si>
    <t xml:space="preserve">Historia de usuario</t>
  </si>
  <si>
    <t xml:space="preserve">Criterio de aceptación</t>
  </si>
  <si>
    <t xml:space="preserve">Puntos</t>
  </si>
  <si>
    <t xml:space="preserve">Responsable</t>
  </si>
  <si>
    <t xml:space="preserve">ENV-001</t>
  </si>
  <si>
    <t xml:space="preserve">Entorno y monorepo</t>
  </si>
  <si>
    <t xml:space="preserve">Como desarrollador, quiero el monorepo (api, mobile, finance-core) listo para empezar a codificar</t>
  </si>
  <si>
    <t xml:space="preserve">npm install y npm start funcionan desde la raíz</t>
  </si>
  <si>
    <t xml:space="preserve">✅ Done</t>
  </si>
  <si>
    <t xml:space="preserve">Dev</t>
  </si>
  <si>
    <t xml:space="preserve">ENV-002</t>
  </si>
  <si>
    <t xml:space="preserve">Integración continua</t>
  </si>
  <si>
    <t xml:space="preserve">Como desarrollador, quiero pruebas automáticas en cada push para no subir errores</t>
  </si>
  <si>
    <t xml:space="preserve">GitHub Actions corre tipos, lint y pruebas en main y develop</t>
  </si>
  <si>
    <t xml:space="preserve">ENV-003</t>
  </si>
  <si>
    <t xml:space="preserve">Base de datos y entornos</t>
  </si>
  <si>
    <t xml:space="preserve">Como desarrollador, quiero BD local y en la nube con migraciones</t>
  </si>
  <si>
    <t xml:space="preserve">prisma dev local + Neon en producción con la misma migración</t>
  </si>
  <si>
    <t xml:space="preserve">DIS-001</t>
  </si>
  <si>
    <t xml:space="preserve">Dirección visual y pantallas</t>
  </si>
  <si>
    <t xml:space="preserve">Como diseñador, quiero la identidad y las pantallas del MVP definidas para no diseñar en el vacío</t>
  </si>
  <si>
    <t xml:space="preserve">Paleta, logo, tipografía y 6 pantallas implementadas</t>
  </si>
  <si>
    <t xml:space="preserve">UX/Dev</t>
  </si>
  <si>
    <t xml:space="preserve">SPRINT 1 — Autenticación + Núcleo (13/10/2026 – 26/10/2026)</t>
  </si>
  <si>
    <t xml:space="preserve">AUTH-001</t>
  </si>
  <si>
    <t xml:space="preserve">Registro (US-001)</t>
  </si>
  <si>
    <t xml:space="preserve">Cuenta creada con 3 consentimientos; correo repetido rechazado (TC-001)</t>
  </si>
  <si>
    <t xml:space="preserve">AUTH-002</t>
  </si>
  <si>
    <t xml:space="preserve">Inicio de sesión (US-002)</t>
  </si>
  <si>
    <t xml:space="preserve">Como estudiante que trabaja, quiero iniciar sesión y mantenerla segura</t>
  </si>
  <si>
    <t xml:space="preserve">Login, logout y bloqueo de 15 min tras 5 intentos</t>
  </si>
  <si>
    <t xml:space="preserve">CORE-001</t>
  </si>
  <si>
    <t xml:space="preserve">Perfil financiero (US-003)</t>
  </si>
  <si>
    <t xml:space="preserve">Como independiente, quiero registrar ingreso, gastos fijos y día de pago para estimar mi ahorro</t>
  </si>
  <si>
    <t xml:space="preserve">Panel muestra capacidad y prudente con el perfil guardado</t>
  </si>
  <si>
    <t xml:space="preserve">SIM-001</t>
  </si>
  <si>
    <t xml:space="preserve">Simulador (US-004)</t>
  </si>
  <si>
    <t xml:space="preserve">Como empleado joven, quiero comparar ahorrar y financiar para conocer el costo total</t>
  </si>
  <si>
    <t xml:space="preserve">Cuota de $5.000.000 a 2 % y 24 meses = $264.355 (TC-003)</t>
  </si>
  <si>
    <t xml:space="preserve">SPRINT 2 — Movimientos y deudas (27/10/2026 – 09/11/2026)</t>
  </si>
  <si>
    <t xml:space="preserve">MOV-001</t>
  </si>
  <si>
    <t xml:space="preserve">Registrar movimientos (US-005)</t>
  </si>
  <si>
    <t xml:space="preserve">Movimiento guardado en &lt; 3 toques; aviso de posible duplicado</t>
  </si>
  <si>
    <t xml:space="preserve">📋 Backlog</t>
  </si>
  <si>
    <t xml:space="preserve">MOV-002</t>
  </si>
  <si>
    <t xml:space="preserve">Historial con filtros</t>
  </si>
  <si>
    <t xml:space="preserve">Como usuario, quiero filtrar mis movimientos por mes y categoría</t>
  </si>
  <si>
    <t xml:space="preserve">Filtros por mes y categoría; usuario A no ve datos de B (TC-006)</t>
  </si>
  <si>
    <t xml:space="preserve">DEU-001</t>
  </si>
  <si>
    <t xml:space="preserve">Deudas y pagos (US-009)</t>
  </si>
  <si>
    <t xml:space="preserve">Como empleado joven, quiero registrar mis deudas y pagos para ver cuánto debo</t>
  </si>
  <si>
    <t xml:space="preserve">Un pago actualiza el saldo de la deuda</t>
  </si>
  <si>
    <t xml:space="preserve">AUTH-003</t>
  </si>
  <si>
    <t xml:space="preserve">Recuperar contraseña (US-008)</t>
  </si>
  <si>
    <t xml:space="preserve">Como usuario, quiero recuperar mi contraseña con un código al correo</t>
  </si>
  <si>
    <t xml:space="preserve">Correo con código de 6 dígitos en &lt; 2 min</t>
  </si>
  <si>
    <t xml:space="preserve">SPRINT 3 — Metas, panel y mentor IA (10/11/2026 – 23/11/2026)</t>
  </si>
  <si>
    <t xml:space="preserve">GOAL-001</t>
  </si>
  <si>
    <t xml:space="preserve">Metas múltiples (US-006)</t>
  </si>
  <si>
    <t xml:space="preserve">Reparto por prioridad; meta en riesgo marcada (TC-004)</t>
  </si>
  <si>
    <t xml:space="preserve">DASH-001</t>
  </si>
  <si>
    <t xml:space="preserve">Panel completo (US-007)</t>
  </si>
  <si>
    <t xml:space="preserve">Como independiente, quiero ver mi capacidad de ahorro con base en mis movimientos</t>
  </si>
  <si>
    <t xml:space="preserve">Capacidad con base «historial» tras 3 meses de datos</t>
  </si>
  <si>
    <t xml:space="preserve">ADM-001</t>
  </si>
  <si>
    <t xml:space="preserve">Tasa de usura (US-012)</t>
  </si>
  <si>
    <t xml:space="preserve">El simulador muestra la tasa y su fecha de vigencia</t>
  </si>
  <si>
    <t xml:space="preserve">IA-001</t>
  </si>
  <si>
    <t xml:space="preserve">Mentor IA (US-010)</t>
  </si>
  <si>
    <t xml:space="preserve">Como usuario, quiero que el mentor explique mi situación con mis cifras</t>
  </si>
  <si>
    <t xml:space="preserve">Respuestas sin cifras inventadas en el banco de pruebas</t>
  </si>
  <si>
    <t xml:space="preserve">SPRINT 4 — Validación + entrega del MVP (24/11/2026 – 07/12/2026)</t>
  </si>
  <si>
    <t xml:space="preserve">QA-001</t>
  </si>
  <si>
    <t xml:space="preserve">Pruebas con usuarios</t>
  </si>
  <si>
    <t xml:space="preserve">Como equipo, quiero validar el MVP con usuarios reales antes de entregarlo</t>
  </si>
  <si>
    <t xml:space="preserve">5 pruebas de usabilidad con cuestionario SUS</t>
  </si>
  <si>
    <t xml:space="preserve">UX/PM</t>
  </si>
  <si>
    <t xml:space="preserve">QA-002</t>
  </si>
  <si>
    <t xml:space="preserve">Corrección de errores</t>
  </si>
  <si>
    <t xml:space="preserve">Como usuario, quiero la app sin cierres inesperados para confiar en ella</t>
  </si>
  <si>
    <t xml:space="preserve">Crash rate &lt; 1 %; errores críticos cerrados</t>
  </si>
  <si>
    <t xml:space="preserve">SEC-001</t>
  </si>
  <si>
    <t xml:space="preserve">Revisión de seguridad</t>
  </si>
  <si>
    <t xml:space="preserve">Como equipo, queremos la app segura antes de entregarla</t>
  </si>
  <si>
    <t xml:space="preserve">OWASP MASVS básico revisado; acceso cruzado probado</t>
  </si>
  <si>
    <t xml:space="preserve">LCH-001</t>
  </si>
  <si>
    <t xml:space="preserve">APK de entrega</t>
  </si>
  <si>
    <t xml:space="preserve">Como equipo, queremos una APK instalable para la sustentación</t>
  </si>
  <si>
    <t xml:space="preserve">APK generada con EAS e instalada en 3 teléfonos Android</t>
  </si>
  <si>
    <t xml:space="preserve">✅ CHECKLIST DE LANZAMIENTO — ¿Estás listo para publicar?</t>
  </si>
  <si>
    <t xml:space="preserve">No lances hasta tener ≥ 85% de esta lista en ✅ · Cada ítem tiene un responsable y una fecha</t>
  </si>
  <si>
    <t xml:space="preserve">📱 PRODUCTO Y FUNCIONALIDAD</t>
  </si>
  <si>
    <t xml:space="preserve">✓</t>
  </si>
  <si>
    <t xml:space="preserve">Ítem a verificar</t>
  </si>
  <si>
    <t xml:space="preserve">Fecha verificación</t>
  </si>
  <si>
    <t xml:space="preserve">Notas</t>
  </si>
  <si>
    <t xml:space="preserve">⬜</t>
  </si>
  <si>
    <t xml:space="preserve">El MVP tiene TODAS las funciones marcadas como 'Must' en la matriz de funciones</t>
  </si>
  <si>
    <t xml:space="preserve">07/12/2026</t>
  </si>
  <si>
    <t xml:space="preserve">Faltan movimientos y metas (Sprints 2–3)</t>
  </si>
  <si>
    <t xml:space="preserve">Se realizaron pruebas de usabilidad con mínimo 5 usuarios reales (no el equipo)</t>
  </si>
  <si>
    <t xml:space="preserve">QA-001 en el Sprint 4</t>
  </si>
  <si>
    <t xml:space="preserve">✅</t>
  </si>
  <si>
    <t xml:space="preserve">El onboarding explica el valor de la app en los primeros 30 segundos</t>
  </si>
  <si>
    <t xml:space="preserve">13/10/2026</t>
  </si>
  <si>
    <t xml:space="preserve">Bienvenida con lema y propuesta; registro en un paso</t>
  </si>
  <si>
    <t xml:space="preserve">La app funciona correctamente en modo offline (si aplica)</t>
  </si>
  <si>
    <t xml:space="preserve">Modo sin conexión es P2, fuera del MVP</t>
  </si>
  <si>
    <t xml:space="preserve">La sincronización offline funciona sin pérdida de datos</t>
  </si>
  <si>
    <t xml:space="preserve">Las funciones principales tienen menos de 3 clicks de profundidad</t>
  </si>
  <si>
    <t xml:space="preserve">Inicio, Metas, Asistente y Simulador a 1–2 toques</t>
  </si>
  <si>
    <t xml:space="preserve">No hay pantallas sin datos (empty states diseñados para todos los casos)</t>
  </si>
  <si>
    <t xml:space="preserve">Panel y metas con estado vacío que invita al siguiente paso</t>
  </si>
  <si>
    <t xml:space="preserve">La app maneja errores de red con mensajes amigables (no mensajes técnicos)</t>
  </si>
  <si>
    <t xml:space="preserve">Mensaje claro de conexión y de servidor despertando</t>
  </si>
  <si>
    <t xml:space="preserve">🔒 SEGURIDAD Y LEGAL</t>
  </si>
  <si>
    <t xml:space="preserve">Política de privacidad publicada y accesible desde la app</t>
  </si>
  <si>
    <t xml:space="preserve">23/11/2026</t>
  </si>
  <si>
    <t xml:space="preserve">Falta publicar el documento; hoy se acepta en el registro</t>
  </si>
  <si>
    <t xml:space="preserve">Términos y condiciones de uso publicados</t>
  </si>
  <si>
    <t xml:space="preserve">Los datos de usuarios están cifrados en tránsito (HTTPS) y en reposo</t>
  </si>
  <si>
    <t xml:space="preserve">HTTPS en Render; Neon cifra en reposo</t>
  </si>
  <si>
    <t xml:space="preserve">No se almacenan contraseñas en texto plano</t>
  </si>
  <si>
    <t xml:space="preserve">Argon2id</t>
  </si>
  <si>
    <t xml:space="preserve">Las API keys están en variables de entorno (no en el código)</t>
  </si>
  <si>
    <t xml:space="preserve">Variables de entorno en Render; JWT generado por Render</t>
  </si>
  <si>
    <t xml:space="preserve">Se cumple con la Ley 1581 de 2012 (Colombia) de protección de datos</t>
  </si>
  <si>
    <t xml:space="preserve">Consentimientos listos; falta política de privacidad publicada</t>
  </si>
  <si>
    <t xml:space="preserve">El formulario de registro tiene opt-in claro para comunicaciones</t>
  </si>
  <si>
    <t xml:space="preserve">La app no envía comunicaciones comerciales</t>
  </si>
  <si>
    <t xml:space="preserve">Se tiene proceso de eliminación de cuenta y datos del usuario</t>
  </si>
  <si>
    <t xml:space="preserve">Perfil → Eliminar cuenta (borra todo en cascada)</t>
  </si>
  <si>
    <t xml:space="preserve">⚡ CALIDAD TÉCNICA</t>
  </si>
  <si>
    <t xml:space="preserve">Crash rate &lt; 1% en pruebas de 48 horas continuas</t>
  </si>
  <si>
    <t xml:space="preserve">Falta configurar registro de errores</t>
  </si>
  <si>
    <t xml:space="preserve">Tiempo de carga de la pantalla principal &lt; 3 segundos</t>
  </si>
  <si>
    <t xml:space="preserve">Medir en teléfono real</t>
  </si>
  <si>
    <t xml:space="preserve">La app fue probada en al menos 3 dispositivos Android diferentes (low-mid-high end)</t>
  </si>
  <si>
    <t xml:space="preserve">Hasta ahora probado en 1 teléfono y en la vista web</t>
  </si>
  <si>
    <t xml:space="preserve">No hay errores visibles en la consola de Firebase Crashlytics</t>
  </si>
  <si>
    <t xml:space="preserve">No se usa Firebase; se usará otro registro de errores</t>
  </si>
  <si>
    <t xml:space="preserve">El backend tiene uptime &gt; 99% en los últimos 7 días</t>
  </si>
  <si>
    <t xml:space="preserve">Plan gratis se duerme; activar monitor</t>
  </si>
  <si>
    <t xml:space="preserve">Se probó la app con conexión lenta (2G/3G) y sin conexión</t>
  </si>
  <si>
    <t xml:space="preserve">Pendiente</t>
  </si>
  <si>
    <t xml:space="preserve">Los backups de base de datos están configurados y probados</t>
  </si>
  <si>
    <t xml:space="preserve">Probar restauración de Neon</t>
  </si>
  <si>
    <t xml:space="preserve">El certificado SSL está configurado y válido</t>
  </si>
  <si>
    <t xml:space="preserve">Certificado de Render en ascendx-api.onrender.com</t>
  </si>
  <si>
    <t xml:space="preserve">📢 LANZAMIENTO Y MARKETING</t>
  </si>
  <si>
    <t xml:space="preserve">La descripción de la app en la tienda está redactada y revisada</t>
  </si>
  <si>
    <t xml:space="preserve">Entrega académica por APK, sin tienda</t>
  </si>
  <si>
    <t xml:space="preserve">Hay al menos 5 capturas de pantalla de alta calidad para la tienda</t>
  </si>
  <si>
    <t xml:space="preserve">El ícono de la app cumple los requisitos de Play Store / App Store</t>
  </si>
  <si>
    <t xml:space="preserve">Ícono adaptativo y monocromo generados del logo</t>
  </si>
  <si>
    <t xml:space="preserve">Se tiene un plan de comunicación para el día de lanzamiento</t>
  </si>
  <si>
    <t xml:space="preserve">Entrega académica</t>
  </si>
  <si>
    <t xml:space="preserve">Hay al menos 10 beta testers que pueden dar feedback el día 1</t>
  </si>
  <si>
    <t xml:space="preserve">24/11/2026</t>
  </si>
  <si>
    <t xml:space="preserve">Reclutar compañeros para QA-001</t>
  </si>
  <si>
    <t xml:space="preserve">Se configuró Firebase Analytics para medir las métricas del MVP</t>
  </si>
  <si>
    <t xml:space="preserve">Analítica planificada (no Firebase)</t>
  </si>
  <si>
    <t xml:space="preserve">Se definió el proceso para responder reviews en &lt; 24 horas</t>
  </si>
  <si>
    <t xml:space="preserve">Sin publicación en tienda</t>
  </si>
  <si>
    <t xml:space="preserve">Existe un canal de soporte (email, WhatsApp, chat) para los primeros usuarios</t>
  </si>
  <si>
    <t xml:space="preserve">Correo de soporte por definir</t>
  </si>
  <si>
    <t xml:space="preserve">💰 MODELO DE NEGOCIO</t>
  </si>
  <si>
    <t xml:space="preserve">Se definió el modelo de monetización y está implementado (si aplica)</t>
  </si>
  <si>
    <t xml:space="preserve">Fase académica sin cobro</t>
  </si>
  <si>
    <t xml:space="preserve">Los pagos fueron probados con tarjetas de prueba del proveedor</t>
  </si>
  <si>
    <t xml:space="preserve">Sin pagos</t>
  </si>
  <si>
    <t xml:space="preserve">Se calculó el CAC (Costo de Adquisición) objetivo y el budget de marketing</t>
  </si>
  <si>
    <t xml:space="preserve">Adquisición orgánica</t>
  </si>
  <si>
    <t xml:space="preserve">Se tiene proyección de break-even a 12 meses</t>
  </si>
  <si>
    <t xml:space="preserve">Fase académica</t>
  </si>
  <si>
    <t xml:space="preserve">El flujo de cobro y facturación cumple con normativa colombiana (si aplica)</t>
  </si>
  <si>
    <t xml:space="preserve">Sin cobro</t>
  </si>
  <si>
    <t xml:space="preserve">PROGRESO TOTAL:</t>
  </si>
  <si>
    <t xml:space="preserve">Ítems completados:</t>
  </si>
  <si>
    <t xml:space="preserve">% completado:</t>
  </si>
  <si>
    <t xml:space="preserve">¿Listo para lanzar?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</si>
</sst>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2"/>
      <charset val="1"/>
    </font>
    <font>
      <i val="true"/>
      <sz val="11"/>
      <color rgb="FFFFFFFF"/>
      <name val="Calibri"/>
      <family val="2"/>
      <charset val="1"/>
    </font>
    <font>
      <sz val="10"/>
      <color rgb="FFFFFFFF"/>
      <name val="Calibri"/>
      <family val="0"/>
      <charset val="1"/>
    </font>
    <font>
      <b val="true"/>
      <sz val="11"/>
      <color rgb="FF0D6B4E"/>
      <name val="Calibri"/>
      <family val="0"/>
      <charset val="1"/>
    </font>
    <font>
      <b val="true"/>
      <sz val="10"/>
      <color rgb="FF0D3F75"/>
      <name val="Calibri"/>
      <family val="2"/>
      <charset val="1"/>
    </font>
    <font>
      <b val="true"/>
      <sz val="10"/>
      <color rgb="FF0D3F75"/>
      <name val="Calibri"/>
      <family val="0"/>
      <charset val="1"/>
    </font>
    <font>
      <sz val="10"/>
      <color rgb="FF1E1E1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D6B4E"/>
      <name val="Calibri"/>
      <family val="0"/>
      <charset val="1"/>
    </font>
    <font>
      <sz val="9"/>
      <color rgb="FF4A4A4A"/>
      <name val="Calibri"/>
      <family val="0"/>
      <charset val="1"/>
    </font>
    <font>
      <b val="true"/>
      <sz val="10"/>
      <color rgb="FF1D9E75"/>
      <name val="Calibri"/>
      <family val="0"/>
      <charset val="1"/>
    </font>
    <font>
      <b val="true"/>
      <sz val="10"/>
      <color rgb="FF1A5FA8"/>
      <name val="Calibri"/>
      <family val="0"/>
      <charset val="1"/>
    </font>
    <font>
      <b val="true"/>
      <sz val="10"/>
      <color rgb="FF4B42B0"/>
      <name val="Calibri"/>
      <family val="0"/>
      <charset val="1"/>
    </font>
    <font>
      <b val="true"/>
      <sz val="10"/>
      <color rgb="FFC04E28"/>
      <name val="Calibri"/>
      <family val="0"/>
      <charset val="1"/>
    </font>
    <font>
      <b val="true"/>
      <sz val="10"/>
      <color rgb="FFB07020"/>
      <name val="Calibri"/>
      <family val="0"/>
      <charset val="1"/>
    </font>
    <font>
      <b val="true"/>
      <sz val="10"/>
      <color rgb="FF4A4A4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10"/>
      <color rgb="FF1E1E1E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9"/>
      <color rgb="FF0D6B4E"/>
      <name val="Calibri"/>
      <family val="0"/>
      <charset val="1"/>
    </font>
    <font>
      <sz val="9"/>
      <color rgb="FF0D3F75"/>
      <name val="Calibri"/>
      <family val="0"/>
      <charset val="1"/>
    </font>
    <font>
      <sz val="9"/>
      <color rgb="FF4B42B0"/>
      <name val="Calibri"/>
      <family val="0"/>
      <charset val="1"/>
    </font>
    <font>
      <sz val="9"/>
      <color rgb="FFC04E28"/>
      <name val="Calibri"/>
      <family val="0"/>
      <charset val="1"/>
    </font>
    <font>
      <sz val="9"/>
      <color rgb="FFB07020"/>
      <name val="Calibri"/>
      <family val="0"/>
      <charset val="1"/>
    </font>
    <font>
      <sz val="9"/>
      <color rgb="FF1D9E75"/>
      <name val="Calibri"/>
      <family val="0"/>
      <charset val="1"/>
    </font>
    <font>
      <b val="true"/>
      <sz val="9"/>
      <color rgb="FF1E1E1E"/>
      <name val="Calibri"/>
      <family val="0"/>
      <charset val="1"/>
    </font>
    <font>
      <sz val="9"/>
      <color rgb="FF1E1E1E"/>
      <name val="Calibri"/>
      <family val="0"/>
      <charset val="1"/>
    </font>
    <font>
      <b val="true"/>
      <sz val="9"/>
      <color rgb="FF4A4A4A"/>
      <name val="Calibri"/>
      <family val="0"/>
      <charset val="1"/>
    </font>
    <font>
      <b val="true"/>
      <sz val="9"/>
      <color rgb="FFA32D2D"/>
      <name val="Calibri"/>
      <family val="0"/>
      <charset val="1"/>
    </font>
    <font>
      <b val="true"/>
      <sz val="9"/>
      <color rgb="FFB0702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0D3F75"/>
      <name val="Calibri"/>
      <family val="0"/>
      <charset val="1"/>
    </font>
    <font>
      <b val="true"/>
      <sz val="9"/>
      <color rgb="FF1D9E75"/>
      <name val="Calibri"/>
      <family val="0"/>
      <charset val="1"/>
    </font>
    <font>
      <i val="true"/>
      <sz val="9"/>
      <color rgb="FF4A4A4A"/>
      <name val="Calibri"/>
      <family val="0"/>
      <charset val="1"/>
    </font>
    <font>
      <i val="true"/>
      <sz val="8.5"/>
      <color rgb="FFB07020"/>
      <name val="Calibri"/>
      <family val="0"/>
      <charset val="1"/>
    </font>
    <font>
      <i val="true"/>
      <sz val="10"/>
      <color rgb="FFFF0000"/>
      <name val="Calibri"/>
      <family val="2"/>
      <charset val="1"/>
    </font>
    <font>
      <b val="true"/>
      <sz val="9"/>
      <color rgb="FFC04E28"/>
      <name val="Calibri"/>
      <family val="0"/>
      <charset val="1"/>
    </font>
    <font>
      <i val="true"/>
      <sz val="9.5"/>
      <color rgb="FFFFFFFF"/>
      <name val="Calibri"/>
      <family val="0"/>
      <charset val="1"/>
    </font>
    <font>
      <b val="true"/>
      <sz val="8.5"/>
      <color rgb="FFFFFFFF"/>
      <name val="Calibri"/>
      <family val="0"/>
      <charset val="1"/>
    </font>
    <font>
      <b val="true"/>
      <sz val="9"/>
      <color rgb="FF4B42B0"/>
      <name val="Calibri"/>
      <family val="0"/>
      <charset val="1"/>
    </font>
    <font>
      <b val="true"/>
      <sz val="9"/>
      <color rgb="FF1A5FA8"/>
      <name val="Calibri"/>
      <family val="0"/>
      <charset val="1"/>
    </font>
    <font>
      <b val="true"/>
      <sz val="11"/>
      <color rgb="FF0D3F75"/>
      <name val="Calibri"/>
      <family val="0"/>
      <charset val="1"/>
    </font>
    <font>
      <b val="true"/>
      <sz val="11"/>
      <color rgb="FFC04E28"/>
      <name val="Calibri"/>
      <family val="0"/>
      <charset val="1"/>
    </font>
    <font>
      <b val="true"/>
      <sz val="11"/>
      <color rgb="FF1D9E75"/>
      <name val="Calibri"/>
      <family val="0"/>
      <charset val="1"/>
    </font>
    <font>
      <b val="true"/>
      <sz val="11"/>
      <color rgb="FF4B42B0"/>
      <name val="Calibri"/>
      <family val="0"/>
      <charset val="1"/>
    </font>
    <font>
      <b val="true"/>
      <sz val="11"/>
      <color rgb="FFB07020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F2F0EB"/>
        <bgColor rgb="FFF5F5F5"/>
      </patternFill>
    </fill>
    <fill>
      <patternFill patternType="solid">
        <fgColor rgb="FF0D6B4E"/>
        <bgColor rgb="FF008080"/>
      </patternFill>
    </fill>
    <fill>
      <patternFill patternType="solid">
        <fgColor rgb="FF1D9E75"/>
        <bgColor rgb="FF008080"/>
      </patternFill>
    </fill>
    <fill>
      <patternFill patternType="solid">
        <fgColor rgb="FF0D3F75"/>
        <bgColor rgb="FF1A5FA8"/>
      </patternFill>
    </fill>
    <fill>
      <patternFill patternType="solid">
        <fgColor rgb="FFE4F4EE"/>
        <bgColor rgb="FFE6EFF9"/>
      </patternFill>
    </fill>
    <fill>
      <patternFill patternType="solid">
        <fgColor rgb="FFE6EFF9"/>
        <bgColor rgb="FFEDEBF9"/>
      </patternFill>
    </fill>
    <fill>
      <patternFill patternType="solid">
        <fgColor rgb="FFFFFFFF"/>
        <bgColor rgb="FFF5F5F5"/>
      </patternFill>
    </fill>
    <fill>
      <patternFill patternType="solid">
        <fgColor rgb="FF1A5FA8"/>
        <bgColor rgb="FF0D3F75"/>
      </patternFill>
    </fill>
    <fill>
      <patternFill patternType="solid">
        <fgColor rgb="FF4B42B0"/>
        <bgColor rgb="FF666699"/>
      </patternFill>
    </fill>
    <fill>
      <patternFill patternType="solid">
        <fgColor rgb="FFC04E28"/>
        <bgColor rgb="FFB07020"/>
      </patternFill>
    </fill>
    <fill>
      <patternFill patternType="solid">
        <fgColor rgb="FFB07020"/>
        <bgColor rgb="FFC04E28"/>
      </patternFill>
    </fill>
    <fill>
      <patternFill patternType="solid">
        <fgColor rgb="FF4A4A4A"/>
        <bgColor rgb="FF4B42B0"/>
      </patternFill>
    </fill>
    <fill>
      <patternFill patternType="solid">
        <fgColor rgb="FFF7EDD8"/>
        <bgColor rgb="FFFFF3D7"/>
      </patternFill>
    </fill>
    <fill>
      <patternFill patternType="solid">
        <fgColor rgb="FFEDEBF9"/>
        <bgColor rgb="FFE6EFF9"/>
      </patternFill>
    </fill>
    <fill>
      <patternFill patternType="solid">
        <fgColor rgb="FFFFF0EA"/>
        <bgColor rgb="FFFFF3D7"/>
      </patternFill>
    </fill>
    <fill>
      <patternFill patternType="solid">
        <fgColor rgb="FFF5F5F5"/>
        <bgColor rgb="FFF2F0EB"/>
      </patternFill>
    </fill>
    <fill>
      <patternFill patternType="solid">
        <fgColor rgb="FFFFD7D7"/>
        <bgColor rgb="FFF7EDD8"/>
      </patternFill>
    </fill>
    <fill>
      <patternFill patternType="solid">
        <fgColor rgb="FFFFF3D7"/>
        <bgColor rgb="FFF7EDD8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>
        <color rgb="FF1D9E75"/>
      </left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0CEC8"/>
      </left>
      <right style="thin">
        <color rgb="FFD0CEC8"/>
      </right>
      <top/>
      <bottom style="thin">
        <color rgb="FFD0CEC8"/>
      </bottom>
      <diagonal/>
    </border>
    <border diagonalUp="false" diagonalDown="false"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0D6B4E"/>
      </left>
      <right style="medium">
        <color rgb="FF0D6B4E"/>
      </right>
      <top style="medium">
        <color rgb="FF0D6B4E"/>
      </top>
      <bottom style="medium">
        <color rgb="FF0D6B4E"/>
      </bottom>
      <diagonal/>
    </border>
    <border diagonalUp="false" diagonalDown="false">
      <left style="medium">
        <color rgb="FF0D3F75"/>
      </left>
      <right style="medium">
        <color rgb="FF0D3F75"/>
      </right>
      <top style="medium">
        <color rgb="FF0D3F75"/>
      </top>
      <bottom style="medium">
        <color rgb="FF0D3F75"/>
      </bottom>
      <diagonal/>
    </border>
    <border diagonalUp="false" diagonalDown="false">
      <left style="medium">
        <color rgb="FF4B42B0"/>
      </left>
      <right style="medium">
        <color rgb="FF4B42B0"/>
      </right>
      <top style="medium">
        <color rgb="FF4B42B0"/>
      </top>
      <bottom style="medium">
        <color rgb="FF4B42B0"/>
      </bottom>
      <diagonal/>
    </border>
    <border diagonalUp="false" diagonalDown="false">
      <left style="medium">
        <color rgb="FFB07020"/>
      </left>
      <right style="medium">
        <color rgb="FFB07020"/>
      </right>
      <top style="medium">
        <color rgb="FFB07020"/>
      </top>
      <bottom style="medium">
        <color rgb="FFB07020"/>
      </bottom>
      <diagonal/>
    </border>
    <border diagonalUp="false" diagonalDown="false">
      <left style="medium">
        <color rgb="FFC04E28"/>
      </left>
      <right style="medium">
        <color rgb="FFC04E28"/>
      </right>
      <top style="medium">
        <color rgb="FFC04E28"/>
      </top>
      <bottom style="medium">
        <color rgb="FFC04E28"/>
      </bottom>
      <diagonal/>
    </border>
    <border diagonalUp="false" diagonalDown="false">
      <left style="medium">
        <color rgb="FF1D9E75"/>
      </left>
      <right style="medium">
        <color rgb="FF1D9E75"/>
      </right>
      <top style="medium">
        <color rgb="FF1D9E75"/>
      </top>
      <bottom style="medium">
        <color rgb="FF1D9E75"/>
      </bottom>
      <diagonal/>
    </border>
    <border diagonalUp="false" diagonalDown="false">
      <left style="medium">
        <color rgb="FF1A5FA8"/>
      </left>
      <right style="medium">
        <color rgb="FF1A5FA8"/>
      </right>
      <top style="medium">
        <color rgb="FF1A5FA8"/>
      </top>
      <bottom style="medium">
        <color rgb="FF1A5FA8"/>
      </bottom>
      <diagonal/>
    </border>
    <border diagonalUp="false" diagonalDown="false">
      <left style="medium">
        <color rgb="FF4A4A4A"/>
      </left>
      <right style="medium">
        <color rgb="FF4A4A4A"/>
      </right>
      <top style="medium">
        <color rgb="FF4A4A4A"/>
      </top>
      <bottom style="medium">
        <color rgb="FF4A4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020"/>
      <rgbColor rgb="FF800080"/>
      <rgbColor rgb="FF0D6B4E"/>
      <rgbColor rgb="FFD0CEC8"/>
      <rgbColor rgb="FF808080"/>
      <rgbColor rgb="FF9999FF"/>
      <rgbColor rgb="FFC04E28"/>
      <rgbColor rgb="FFFFF3D7"/>
      <rgbColor rgb="FFE4F4EE"/>
      <rgbColor rgb="FF660066"/>
      <rgbColor rgb="FFFF8080"/>
      <rgbColor rgb="FF1A5FA8"/>
      <rgbColor rgb="FFEDEB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FF9"/>
      <rgbColor rgb="FFF2F0EB"/>
      <rgbColor rgb="FFF7EDD8"/>
      <rgbColor rgb="FFF5F5F5"/>
      <rgbColor rgb="FFFFF0EA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F75"/>
      <rgbColor rgb="FF1D9E75"/>
      <rgbColor rgb="FF003300"/>
      <rgbColor rgb="FF4A4A4A"/>
      <rgbColor rgb="FFA32D2D"/>
      <rgbColor rgb="FF993366"/>
      <rgbColor rgb="FF4B42B0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fals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E8" activeCellId="0" sqref="E8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.33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7.88"/>
    <col collapsed="false" customWidth="true" hidden="false" outlineLevel="0" max="8" min="6" style="0" width="18"/>
    <col collapsed="false" customWidth="true" hidden="false" outlineLevel="0" max="9" min="9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</row>
    <row r="3" customFormat="false" ht="27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</row>
    <row r="4" customFormat="false" ht="31.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4"/>
      <c r="I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20.25" hidden="false" customHeight="true" outlineLevel="0" collapsed="false">
      <c r="A6" s="1"/>
      <c r="B6" s="5" t="s">
        <v>3</v>
      </c>
      <c r="C6" s="5"/>
      <c r="D6" s="5"/>
      <c r="E6" s="5"/>
      <c r="F6" s="5"/>
      <c r="G6" s="5"/>
      <c r="H6" s="5"/>
      <c r="I6" s="1"/>
    </row>
    <row r="7" customFormat="false" ht="70.5" hidden="false" customHeight="true" outlineLevel="0" collapsed="false">
      <c r="A7" s="1"/>
      <c r="B7" s="6" t="s">
        <v>4</v>
      </c>
      <c r="C7" s="7" t="s">
        <v>5</v>
      </c>
      <c r="D7" s="7"/>
      <c r="E7" s="6" t="s">
        <v>4</v>
      </c>
      <c r="F7" s="7" t="s">
        <v>6</v>
      </c>
      <c r="G7" s="7"/>
      <c r="H7" s="7"/>
      <c r="I7" s="1"/>
    </row>
    <row r="8" customFormat="false" ht="69" hidden="false" customHeight="true" outlineLevel="0" collapsed="false">
      <c r="A8" s="1"/>
      <c r="B8" s="6" t="s">
        <v>4</v>
      </c>
      <c r="C8" s="7" t="s">
        <v>7</v>
      </c>
      <c r="D8" s="7"/>
      <c r="E8" s="6" t="s">
        <v>4</v>
      </c>
      <c r="F8" s="7" t="s">
        <v>8</v>
      </c>
      <c r="G8" s="7"/>
      <c r="H8" s="7"/>
      <c r="I8" s="1"/>
    </row>
    <row r="9" customFormat="false" ht="63.75" hidden="false" customHeight="true" outlineLevel="0" collapsed="false">
      <c r="A9" s="1"/>
      <c r="B9" s="8" t="s">
        <v>9</v>
      </c>
      <c r="C9" s="9" t="s">
        <v>10</v>
      </c>
      <c r="I9" s="1"/>
    </row>
    <row r="10" customFormat="false" ht="33" hidden="false" customHeight="true" outlineLevel="0" collapsed="false">
      <c r="A10" s="1"/>
      <c r="B10" s="10" t="s">
        <v>11</v>
      </c>
      <c r="C10" s="11" t="s">
        <v>12</v>
      </c>
      <c r="D10" s="11"/>
      <c r="E10" s="10" t="s">
        <v>13</v>
      </c>
      <c r="F10" s="11" t="s">
        <v>14</v>
      </c>
      <c r="G10" s="11"/>
      <c r="H10" s="11"/>
      <c r="I10" s="1"/>
    </row>
    <row r="11" customFormat="false" ht="21.75" hidden="false" customHeight="true" outlineLevel="0" collapsed="false">
      <c r="A11" s="1"/>
      <c r="B11" s="10" t="s">
        <v>15</v>
      </c>
      <c r="C11" s="11" t="s">
        <v>5</v>
      </c>
      <c r="D11" s="11"/>
      <c r="E11" s="10" t="s">
        <v>16</v>
      </c>
      <c r="F11" s="11" t="s">
        <v>17</v>
      </c>
      <c r="G11" s="11"/>
      <c r="H11" s="11"/>
      <c r="I11" s="1"/>
    </row>
    <row r="12" customFormat="false" ht="33" hidden="false" customHeight="true" outlineLevel="0" collapsed="false">
      <c r="A12" s="1"/>
      <c r="B12" s="10" t="s">
        <v>18</v>
      </c>
      <c r="C12" s="11" t="s">
        <v>19</v>
      </c>
      <c r="D12" s="11"/>
      <c r="E12" s="10" t="s">
        <v>20</v>
      </c>
      <c r="F12" s="11" t="s">
        <v>21</v>
      </c>
      <c r="G12" s="11"/>
      <c r="H12" s="11"/>
      <c r="I12" s="1"/>
    </row>
    <row r="13" customFormat="false" ht="33" hidden="false" customHeight="true" outlineLevel="0" collapsed="false">
      <c r="A13" s="1"/>
      <c r="B13" s="10" t="s">
        <v>22</v>
      </c>
      <c r="C13" s="11" t="s">
        <v>23</v>
      </c>
      <c r="D13" s="11"/>
      <c r="E13" s="10" t="s">
        <v>24</v>
      </c>
      <c r="F13" s="11" t="s">
        <v>25</v>
      </c>
      <c r="G13" s="11"/>
      <c r="H13" s="11"/>
      <c r="I13" s="1"/>
    </row>
    <row r="14" customFormat="false" ht="33" hidden="false" customHeight="true" outlineLevel="0" collapsed="false">
      <c r="A14" s="1"/>
      <c r="B14" s="10" t="s">
        <v>26</v>
      </c>
      <c r="C14" s="11" t="s">
        <v>27</v>
      </c>
      <c r="D14" s="11"/>
      <c r="E14" s="10" t="s">
        <v>28</v>
      </c>
      <c r="F14" s="11" t="s">
        <v>29</v>
      </c>
      <c r="G14" s="11"/>
      <c r="H14" s="11"/>
      <c r="I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21.75" hidden="false" customHeight="true" outlineLevel="0" collapsed="false">
      <c r="A17" s="1"/>
      <c r="B17" s="12" t="s">
        <v>30</v>
      </c>
      <c r="C17" s="12"/>
      <c r="D17" s="12"/>
      <c r="E17" s="12"/>
      <c r="F17" s="12"/>
      <c r="G17" s="12"/>
      <c r="H17" s="12"/>
      <c r="I17" s="1"/>
    </row>
    <row r="18" customFormat="false" ht="21.75" hidden="false" customHeight="true" outlineLevel="0" collapsed="false">
      <c r="A18" s="1"/>
      <c r="B18" s="13" t="s">
        <v>31</v>
      </c>
      <c r="C18" s="14" t="s">
        <v>32</v>
      </c>
      <c r="D18" s="14"/>
      <c r="E18" s="15" t="s">
        <v>33</v>
      </c>
      <c r="F18" s="15"/>
      <c r="G18" s="15"/>
      <c r="H18" s="15"/>
      <c r="I18" s="1"/>
    </row>
    <row r="19" customFormat="false" ht="21.75" hidden="false" customHeight="true" outlineLevel="0" collapsed="false">
      <c r="A19" s="1"/>
      <c r="B19" s="16" t="s">
        <v>34</v>
      </c>
      <c r="C19" s="17" t="s">
        <v>35</v>
      </c>
      <c r="D19" s="17"/>
      <c r="E19" s="18" t="s">
        <v>36</v>
      </c>
      <c r="F19" s="18"/>
      <c r="G19" s="18"/>
      <c r="H19" s="18"/>
      <c r="I19" s="1"/>
    </row>
    <row r="20" customFormat="false" ht="21.75" hidden="false" customHeight="true" outlineLevel="0" collapsed="false">
      <c r="A20" s="1"/>
      <c r="B20" s="19" t="s">
        <v>37</v>
      </c>
      <c r="C20" s="20" t="s">
        <v>38</v>
      </c>
      <c r="D20" s="20"/>
      <c r="E20" s="15" t="s">
        <v>39</v>
      </c>
      <c r="F20" s="15"/>
      <c r="G20" s="15"/>
      <c r="H20" s="15"/>
      <c r="I20" s="1"/>
    </row>
    <row r="21" customFormat="false" ht="21.75" hidden="false" customHeight="true" outlineLevel="0" collapsed="false">
      <c r="A21" s="1"/>
      <c r="B21" s="21" t="s">
        <v>40</v>
      </c>
      <c r="C21" s="22" t="s">
        <v>41</v>
      </c>
      <c r="D21" s="22"/>
      <c r="E21" s="18" t="s">
        <v>42</v>
      </c>
      <c r="F21" s="18"/>
      <c r="G21" s="18"/>
      <c r="H21" s="18"/>
      <c r="I21" s="1"/>
    </row>
    <row r="22" customFormat="false" ht="21.75" hidden="false" customHeight="true" outlineLevel="0" collapsed="false">
      <c r="A22" s="1"/>
      <c r="B22" s="23" t="s">
        <v>43</v>
      </c>
      <c r="C22" s="24" t="s">
        <v>44</v>
      </c>
      <c r="D22" s="24"/>
      <c r="E22" s="15" t="s">
        <v>45</v>
      </c>
      <c r="F22" s="15"/>
      <c r="G22" s="15"/>
      <c r="H22" s="15"/>
      <c r="I22" s="1"/>
    </row>
    <row r="23" customFormat="false" ht="21.75" hidden="false" customHeight="true" outlineLevel="0" collapsed="false">
      <c r="A23" s="1"/>
      <c r="B23" s="25" t="s">
        <v>46</v>
      </c>
      <c r="C23" s="26" t="s">
        <v>47</v>
      </c>
      <c r="D23" s="26"/>
      <c r="E23" s="18" t="s">
        <v>48</v>
      </c>
      <c r="F23" s="18"/>
      <c r="G23" s="18"/>
      <c r="H23" s="18"/>
      <c r="I23" s="1"/>
    </row>
    <row r="24" customFormat="false" ht="21.75" hidden="false" customHeight="true" outlineLevel="0" collapsed="false">
      <c r="A24" s="1"/>
      <c r="B24" s="27" t="s">
        <v>49</v>
      </c>
      <c r="C24" s="28" t="s">
        <v>50</v>
      </c>
      <c r="D24" s="28"/>
      <c r="E24" s="15" t="s">
        <v>51</v>
      </c>
      <c r="F24" s="15"/>
      <c r="G24" s="15"/>
      <c r="H24" s="15"/>
      <c r="I24" s="1"/>
    </row>
    <row r="25" customFormat="false" ht="21.75" hidden="false" customHeight="true" outlineLevel="0" collapsed="false">
      <c r="A25" s="1"/>
      <c r="B25" s="16" t="s">
        <v>52</v>
      </c>
      <c r="C25" s="17" t="s">
        <v>53</v>
      </c>
      <c r="D25" s="17"/>
      <c r="E25" s="18" t="s">
        <v>54</v>
      </c>
      <c r="F25" s="18"/>
      <c r="G25" s="18"/>
      <c r="H25" s="18"/>
      <c r="I25" s="1"/>
    </row>
    <row r="26" customFormat="false" ht="21.75" hidden="false" customHeight="true" outlineLevel="0" collapsed="false">
      <c r="A26" s="1"/>
      <c r="B26" s="29" t="s">
        <v>55</v>
      </c>
      <c r="C26" s="10" t="s">
        <v>56</v>
      </c>
      <c r="D26" s="10"/>
      <c r="E26" s="15" t="s">
        <v>57</v>
      </c>
      <c r="F26" s="15"/>
      <c r="G26" s="15"/>
      <c r="H26" s="15"/>
      <c r="I26" s="1"/>
    </row>
    <row r="27" customFormat="false" ht="21.75" hidden="false" customHeight="true" outlineLevel="0" collapsed="false">
      <c r="A27" s="1"/>
      <c r="B27" s="13" t="s">
        <v>58</v>
      </c>
      <c r="C27" s="30" t="s">
        <v>59</v>
      </c>
      <c r="D27" s="30"/>
      <c r="E27" s="18" t="s">
        <v>60</v>
      </c>
      <c r="F27" s="18"/>
      <c r="G27" s="18"/>
      <c r="H27" s="18"/>
      <c r="I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21.75" hidden="false" customHeight="true" outlineLevel="0" collapsed="false">
      <c r="A30" s="1"/>
      <c r="B30" s="31" t="s">
        <v>61</v>
      </c>
      <c r="C30" s="31"/>
      <c r="D30" s="31"/>
      <c r="E30" s="31"/>
      <c r="F30" s="31"/>
      <c r="G30" s="31"/>
      <c r="H30" s="31"/>
      <c r="I30" s="1"/>
    </row>
    <row r="31" customFormat="false" ht="21.75" hidden="false" customHeight="true" outlineLevel="0" collapsed="false">
      <c r="A31" s="1"/>
      <c r="B31" s="32" t="s">
        <v>62</v>
      </c>
      <c r="C31" s="32"/>
      <c r="D31" s="33" t="s">
        <v>63</v>
      </c>
      <c r="E31" s="33"/>
      <c r="F31" s="33"/>
      <c r="G31" s="33"/>
      <c r="H31" s="33"/>
      <c r="I31" s="1"/>
    </row>
    <row r="32" customFormat="false" ht="21.75" hidden="false" customHeight="true" outlineLevel="0" collapsed="false">
      <c r="A32" s="1"/>
      <c r="B32" s="34" t="s">
        <v>64</v>
      </c>
      <c r="C32" s="34"/>
      <c r="D32" s="15" t="s">
        <v>65</v>
      </c>
      <c r="E32" s="15"/>
      <c r="F32" s="15"/>
      <c r="G32" s="15"/>
      <c r="H32" s="15"/>
      <c r="I32" s="1"/>
    </row>
    <row r="33" customFormat="false" ht="21.75" hidden="false" customHeight="true" outlineLevel="0" collapsed="false">
      <c r="A33" s="1"/>
      <c r="B33" s="35" t="s">
        <v>66</v>
      </c>
      <c r="C33" s="35"/>
      <c r="D33" s="33" t="s">
        <v>67</v>
      </c>
      <c r="E33" s="33"/>
      <c r="F33" s="33"/>
      <c r="G33" s="33"/>
      <c r="H33" s="33"/>
      <c r="I33" s="1"/>
    </row>
    <row r="34" customFormat="false" ht="21.75" hidden="false" customHeight="true" outlineLevel="0" collapsed="false">
      <c r="A34" s="1"/>
      <c r="B34" s="36" t="s">
        <v>68</v>
      </c>
      <c r="C34" s="36"/>
      <c r="D34" s="15" t="s">
        <v>69</v>
      </c>
      <c r="E34" s="15"/>
      <c r="F34" s="15"/>
      <c r="G34" s="15"/>
      <c r="H34" s="15"/>
      <c r="I34" s="1"/>
    </row>
    <row r="35" customFormat="false" ht="21.75" hidden="false" customHeight="true" outlineLevel="0" collapsed="false">
      <c r="A35" s="1"/>
      <c r="B35" s="37" t="s">
        <v>70</v>
      </c>
      <c r="C35" s="37"/>
      <c r="D35" s="33" t="s">
        <v>71</v>
      </c>
      <c r="E35" s="33"/>
      <c r="F35" s="33"/>
      <c r="G35" s="33"/>
      <c r="H35" s="33"/>
      <c r="I35" s="1"/>
    </row>
    <row r="36" customFormat="false" ht="21.75" hidden="false" customHeight="true" outlineLevel="0" collapsed="false">
      <c r="A36" s="1"/>
      <c r="B36" s="38" t="s">
        <v>72</v>
      </c>
      <c r="C36" s="38"/>
      <c r="D36" s="15" t="s">
        <v>73</v>
      </c>
      <c r="E36" s="15"/>
      <c r="F36" s="15"/>
      <c r="G36" s="15"/>
      <c r="H36" s="15"/>
      <c r="I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21.75" hidden="false" customHeight="true" outlineLevel="0" collapsed="false">
      <c r="A39" s="1"/>
      <c r="B39" s="39" t="s">
        <v>74</v>
      </c>
      <c r="C39" s="39"/>
      <c r="D39" s="39"/>
      <c r="E39" s="39"/>
      <c r="F39" s="39"/>
      <c r="G39" s="39"/>
      <c r="H39" s="39"/>
      <c r="I39" s="1"/>
    </row>
    <row r="40" customFormat="false" ht="19.5" hidden="false" customHeight="true" outlineLevel="0" collapsed="false">
      <c r="A40" s="1"/>
      <c r="B40" s="40" t="s">
        <v>75</v>
      </c>
      <c r="C40" s="40"/>
      <c r="D40" s="40"/>
      <c r="E40" s="40"/>
      <c r="F40" s="40"/>
      <c r="G40" s="40"/>
      <c r="H40" s="40"/>
      <c r="I40" s="1"/>
    </row>
    <row r="41" customFormat="false" ht="19.5" hidden="false" customHeight="true" outlineLevel="0" collapsed="false">
      <c r="A41" s="1"/>
      <c r="B41" s="11" t="s">
        <v>76</v>
      </c>
      <c r="C41" s="11"/>
      <c r="D41" s="11"/>
      <c r="E41" s="11"/>
      <c r="F41" s="11"/>
      <c r="G41" s="11"/>
      <c r="H41" s="11"/>
      <c r="I41" s="1"/>
    </row>
    <row r="42" customFormat="false" ht="19.5" hidden="false" customHeight="true" outlineLevel="0" collapsed="false">
      <c r="A42" s="1"/>
      <c r="B42" s="40" t="s">
        <v>77</v>
      </c>
      <c r="C42" s="40"/>
      <c r="D42" s="40"/>
      <c r="E42" s="40"/>
      <c r="F42" s="40"/>
      <c r="G42" s="40"/>
      <c r="H42" s="40"/>
      <c r="I42" s="1"/>
    </row>
    <row r="43" customFormat="false" ht="19.5" hidden="false" customHeight="true" outlineLevel="0" collapsed="false">
      <c r="A43" s="1"/>
      <c r="B43" s="11" t="s">
        <v>78</v>
      </c>
      <c r="C43" s="11"/>
      <c r="D43" s="11"/>
      <c r="E43" s="11"/>
      <c r="F43" s="11"/>
      <c r="G43" s="11"/>
      <c r="H43" s="11"/>
      <c r="I43" s="1"/>
    </row>
    <row r="44" customFormat="false" ht="19.5" hidden="false" customHeight="true" outlineLevel="0" collapsed="false">
      <c r="A44" s="1"/>
      <c r="B44" s="40" t="s">
        <v>79</v>
      </c>
      <c r="C44" s="40"/>
      <c r="D44" s="40"/>
      <c r="E44" s="40"/>
      <c r="F44" s="40"/>
      <c r="G44" s="40"/>
      <c r="H44" s="40"/>
      <c r="I44" s="1"/>
    </row>
    <row r="45" customFormat="false" ht="19.5" hidden="false" customHeight="true" outlineLevel="0" collapsed="false">
      <c r="A45" s="1"/>
      <c r="B45" s="11" t="s">
        <v>80</v>
      </c>
      <c r="C45" s="11"/>
      <c r="D45" s="11"/>
      <c r="E45" s="11"/>
      <c r="F45" s="11"/>
      <c r="G45" s="11"/>
      <c r="H45" s="11"/>
      <c r="I45" s="1"/>
    </row>
    <row r="46" customFormat="false" ht="19.5" hidden="false" customHeight="true" outlineLevel="0" collapsed="false">
      <c r="A46" s="1"/>
      <c r="B46" s="40" t="s">
        <v>81</v>
      </c>
      <c r="C46" s="40"/>
      <c r="D46" s="40"/>
      <c r="E46" s="40"/>
      <c r="F46" s="40"/>
      <c r="G46" s="40"/>
      <c r="H46" s="40"/>
      <c r="I46" s="1"/>
    </row>
    <row r="47" customFormat="false" ht="19.5" hidden="false" customHeight="true" outlineLevel="0" collapsed="false">
      <c r="A47" s="1"/>
      <c r="B47" s="11" t="s">
        <v>82</v>
      </c>
      <c r="C47" s="11"/>
      <c r="D47" s="11"/>
      <c r="E47" s="11"/>
      <c r="F47" s="11"/>
      <c r="G47" s="11"/>
      <c r="H47" s="11"/>
      <c r="I47" s="1"/>
    </row>
    <row r="48" customFormat="false" ht="19.5" hidden="false" customHeight="true" outlineLevel="0" collapsed="false">
      <c r="A48" s="1"/>
      <c r="B48" s="40" t="s">
        <v>83</v>
      </c>
      <c r="C48" s="40"/>
      <c r="D48" s="40"/>
      <c r="E48" s="40"/>
      <c r="F48" s="40"/>
      <c r="G48" s="40"/>
      <c r="H48" s="40"/>
      <c r="I48" s="1"/>
    </row>
    <row r="49" customFormat="false" ht="19.5" hidden="false" customHeight="true" outlineLevel="0" collapsed="false">
      <c r="A49" s="1"/>
      <c r="B49" s="11" t="s">
        <v>84</v>
      </c>
      <c r="C49" s="11"/>
      <c r="D49" s="11"/>
      <c r="E49" s="11"/>
      <c r="F49" s="11"/>
      <c r="G49" s="11"/>
      <c r="H49" s="11"/>
      <c r="I49" s="1"/>
    </row>
    <row r="50" customFormat="false" ht="19.5" hidden="false" customHeight="true" outlineLevel="0" collapsed="false">
      <c r="A50" s="1"/>
      <c r="B50" s="40"/>
      <c r="C50" s="40"/>
      <c r="D50" s="40"/>
      <c r="E50" s="40"/>
      <c r="F50" s="40"/>
      <c r="G50" s="40"/>
      <c r="H50" s="40"/>
      <c r="I50" s="1"/>
    </row>
    <row r="51" customFormat="false" ht="19.5" hidden="false" customHeight="true" outlineLevel="0" collapsed="false">
      <c r="A51" s="1"/>
      <c r="B51" s="41" t="s">
        <v>85</v>
      </c>
      <c r="C51" s="41"/>
      <c r="D51" s="41"/>
      <c r="E51" s="41"/>
      <c r="F51" s="41"/>
      <c r="G51" s="41"/>
      <c r="H51" s="41"/>
      <c r="I51" s="1"/>
    </row>
    <row r="52" customFormat="false" ht="19.5" hidden="false" customHeight="true" outlineLevel="0" collapsed="false">
      <c r="A52" s="1"/>
      <c r="B52" s="42" t="s">
        <v>86</v>
      </c>
      <c r="C52" s="42"/>
      <c r="D52" s="42"/>
      <c r="E52" s="42"/>
      <c r="F52" s="42"/>
      <c r="G52" s="42"/>
      <c r="H52" s="42"/>
      <c r="I52" s="1"/>
    </row>
    <row r="53" customFormat="false" ht="19.5" hidden="false" customHeight="true" outlineLevel="0" collapsed="false">
      <c r="A53" s="1"/>
      <c r="B53" s="41" t="s">
        <v>87</v>
      </c>
      <c r="C53" s="41"/>
      <c r="D53" s="41"/>
      <c r="E53" s="41"/>
      <c r="F53" s="41"/>
      <c r="G53" s="41"/>
      <c r="H53" s="41"/>
      <c r="I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</row>
  </sheetData>
  <mergeCells count="67">
    <mergeCell ref="B2:H2"/>
    <mergeCell ref="B3:H3"/>
    <mergeCell ref="B4:H4"/>
    <mergeCell ref="B6:H6"/>
    <mergeCell ref="C7:D7"/>
    <mergeCell ref="F7:H7"/>
    <mergeCell ref="C8:D8"/>
    <mergeCell ref="F8:H8"/>
    <mergeCell ref="C10:D10"/>
    <mergeCell ref="F10:H10"/>
    <mergeCell ref="C11:D11"/>
    <mergeCell ref="F11:H11"/>
    <mergeCell ref="C12:D12"/>
    <mergeCell ref="F12:H12"/>
    <mergeCell ref="C13:D13"/>
    <mergeCell ref="F13:H13"/>
    <mergeCell ref="C14:D14"/>
    <mergeCell ref="F14:H14"/>
    <mergeCell ref="B17:H17"/>
    <mergeCell ref="C18:D18"/>
    <mergeCell ref="E18:H18"/>
    <mergeCell ref="C19:D19"/>
    <mergeCell ref="E19:H19"/>
    <mergeCell ref="C20:D20"/>
    <mergeCell ref="E20:H20"/>
    <mergeCell ref="C21:D21"/>
    <mergeCell ref="E21:H21"/>
    <mergeCell ref="C22:D22"/>
    <mergeCell ref="E22:H22"/>
    <mergeCell ref="C23:D23"/>
    <mergeCell ref="E23:H23"/>
    <mergeCell ref="C24:D24"/>
    <mergeCell ref="E24:H24"/>
    <mergeCell ref="C25:D25"/>
    <mergeCell ref="E25:H25"/>
    <mergeCell ref="C26:D26"/>
    <mergeCell ref="E26:H26"/>
    <mergeCell ref="C27:D27"/>
    <mergeCell ref="E27:H27"/>
    <mergeCell ref="B30:H30"/>
    <mergeCell ref="B31:C31"/>
    <mergeCell ref="D31:H31"/>
    <mergeCell ref="B32:C32"/>
    <mergeCell ref="D32:H32"/>
    <mergeCell ref="B33:C33"/>
    <mergeCell ref="D33:H33"/>
    <mergeCell ref="B34:C34"/>
    <mergeCell ref="D34:H34"/>
    <mergeCell ref="B35:C35"/>
    <mergeCell ref="D35:H35"/>
    <mergeCell ref="B36:C36"/>
    <mergeCell ref="D36:H36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18"/>
    <col collapsed="false" customWidth="true" hidden="false" outlineLevel="0" max="7" min="6" style="0" width="22"/>
    <col collapsed="false" customWidth="true" hidden="false" outlineLevel="0" max="8" min="8" style="0" width="20"/>
    <col collapsed="false" customWidth="true" hidden="false" outlineLevel="0" max="9" min="9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1"/>
      <c r="B2" s="43" t="s">
        <v>88</v>
      </c>
      <c r="C2" s="43"/>
      <c r="D2" s="43"/>
      <c r="E2" s="43"/>
      <c r="F2" s="43"/>
      <c r="G2" s="43"/>
      <c r="H2" s="43"/>
      <c r="I2" s="1"/>
    </row>
    <row r="3" customFormat="false" ht="21.75" hidden="false" customHeight="true" outlineLevel="0" collapsed="false">
      <c r="A3" s="1"/>
      <c r="B3" s="44" t="s">
        <v>89</v>
      </c>
      <c r="C3" s="44"/>
      <c r="D3" s="44"/>
      <c r="E3" s="44"/>
      <c r="F3" s="44"/>
      <c r="G3" s="44"/>
      <c r="H3" s="44"/>
      <c r="I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57" hidden="false" customHeight="true" outlineLevel="0" collapsed="false">
      <c r="A5" s="1"/>
      <c r="B5" s="45" t="s">
        <v>90</v>
      </c>
      <c r="C5" s="46" t="s">
        <v>91</v>
      </c>
      <c r="D5" s="47" t="s">
        <v>92</v>
      </c>
      <c r="E5" s="48" t="s">
        <v>93</v>
      </c>
      <c r="F5" s="49" t="s">
        <v>94</v>
      </c>
      <c r="G5" s="50" t="s">
        <v>95</v>
      </c>
      <c r="H5" s="51" t="s">
        <v>96</v>
      </c>
      <c r="I5" s="1"/>
    </row>
    <row r="6" customFormat="false" ht="19.5" hidden="false" customHeight="true" outlineLevel="0" collapsed="false">
      <c r="A6" s="1"/>
      <c r="B6" s="52" t="s">
        <v>97</v>
      </c>
      <c r="C6" s="52"/>
      <c r="D6" s="52"/>
      <c r="E6" s="52"/>
      <c r="F6" s="52"/>
      <c r="G6" s="52"/>
      <c r="H6" s="52"/>
      <c r="I6" s="1"/>
    </row>
    <row r="7" customFormat="false" ht="66.75" hidden="false" customHeight="true" outlineLevel="0" collapsed="false">
      <c r="A7" s="1"/>
      <c r="B7" s="53" t="s">
        <v>98</v>
      </c>
      <c r="C7" s="54" t="s">
        <v>99</v>
      </c>
      <c r="D7" s="55" t="s">
        <v>100</v>
      </c>
      <c r="E7" s="56" t="s">
        <v>101</v>
      </c>
      <c r="F7" s="57" t="s">
        <v>102</v>
      </c>
      <c r="G7" s="33" t="s">
        <v>103</v>
      </c>
      <c r="H7" s="58" t="s">
        <v>104</v>
      </c>
      <c r="I7" s="1"/>
    </row>
    <row r="8" customFormat="false" ht="66.75" hidden="false" customHeight="true" outlineLevel="0" collapsed="false">
      <c r="A8" s="1"/>
      <c r="B8" s="59" t="s">
        <v>105</v>
      </c>
      <c r="C8" s="60" t="s">
        <v>106</v>
      </c>
      <c r="D8" s="61" t="s">
        <v>107</v>
      </c>
      <c r="E8" s="62" t="s">
        <v>108</v>
      </c>
      <c r="F8" s="63" t="s">
        <v>109</v>
      </c>
      <c r="G8" s="15" t="s">
        <v>110</v>
      </c>
      <c r="H8" s="64" t="s">
        <v>111</v>
      </c>
      <c r="I8" s="1"/>
    </row>
    <row r="9" customFormat="false" ht="54" hidden="false" customHeight="true" outlineLevel="0" collapsed="false">
      <c r="A9" s="1"/>
      <c r="B9" s="65" t="s">
        <v>112</v>
      </c>
      <c r="C9" s="66" t="s">
        <v>113</v>
      </c>
      <c r="D9" s="67" t="s">
        <v>114</v>
      </c>
      <c r="E9" s="68" t="s">
        <v>115</v>
      </c>
      <c r="F9" s="69" t="s">
        <v>116</v>
      </c>
      <c r="G9" s="70" t="s">
        <v>117</v>
      </c>
      <c r="H9" s="71" t="s">
        <v>118</v>
      </c>
      <c r="I9" s="1"/>
    </row>
    <row r="10" customFormat="false" ht="66.75" hidden="false" customHeight="true" outlineLevel="0" collapsed="false">
      <c r="A10" s="1"/>
      <c r="B10" s="72" t="s">
        <v>119</v>
      </c>
      <c r="C10" s="73" t="s">
        <v>120</v>
      </c>
      <c r="D10" s="74" t="s">
        <v>121</v>
      </c>
      <c r="E10" s="75" t="s">
        <v>122</v>
      </c>
      <c r="F10" s="76" t="s">
        <v>123</v>
      </c>
      <c r="G10" s="77" t="s">
        <v>124</v>
      </c>
      <c r="H10" s="78" t="s">
        <v>125</v>
      </c>
      <c r="I10" s="1"/>
    </row>
    <row r="11" customFormat="false" ht="54" hidden="false" customHeight="true" outlineLevel="0" collapsed="false">
      <c r="A11" s="1"/>
      <c r="B11" s="79" t="s">
        <v>126</v>
      </c>
      <c r="C11" s="80" t="s">
        <v>127</v>
      </c>
      <c r="D11" s="81" t="s">
        <v>128</v>
      </c>
      <c r="E11" s="82" t="s">
        <v>129</v>
      </c>
      <c r="F11" s="83" t="s">
        <v>130</v>
      </c>
      <c r="G11" s="84" t="s">
        <v>131</v>
      </c>
      <c r="H11" s="85" t="s">
        <v>132</v>
      </c>
      <c r="I11" s="1"/>
    </row>
    <row r="12" customFormat="false" ht="54" hidden="false" customHeight="true" outlineLevel="0" collapsed="false">
      <c r="A12" s="1"/>
      <c r="B12" s="86" t="s">
        <v>133</v>
      </c>
      <c r="C12" s="87" t="s">
        <v>134</v>
      </c>
      <c r="D12" s="88" t="s">
        <v>135</v>
      </c>
      <c r="E12" s="89" t="s">
        <v>136</v>
      </c>
      <c r="F12" s="90" t="s">
        <v>137</v>
      </c>
      <c r="G12" s="91" t="s">
        <v>138</v>
      </c>
      <c r="H12" s="92" t="s">
        <v>139</v>
      </c>
      <c r="I12" s="1"/>
    </row>
    <row r="13" customFormat="false" ht="66.75" hidden="false" customHeight="true" outlineLevel="0" collapsed="false">
      <c r="A13" s="1"/>
      <c r="B13" s="53" t="s">
        <v>140</v>
      </c>
      <c r="C13" s="54" t="s">
        <v>141</v>
      </c>
      <c r="D13" s="55" t="s">
        <v>142</v>
      </c>
      <c r="E13" s="56" t="s">
        <v>143</v>
      </c>
      <c r="F13" s="57" t="s">
        <v>144</v>
      </c>
      <c r="G13" s="33" t="s">
        <v>145</v>
      </c>
      <c r="H13" s="58" t="s">
        <v>146</v>
      </c>
      <c r="I13" s="1"/>
    </row>
    <row r="14" customFormat="false" ht="31.5" hidden="false" customHeight="true" outlineLevel="0" collapsed="false">
      <c r="A14" s="1"/>
      <c r="B14" s="59"/>
      <c r="C14" s="60"/>
      <c r="D14" s="61"/>
      <c r="E14" s="62"/>
      <c r="F14" s="63"/>
      <c r="G14" s="15"/>
      <c r="H14" s="64"/>
      <c r="I14" s="1"/>
    </row>
    <row r="15" customFormat="false" ht="31.5" hidden="false" customHeight="true" outlineLevel="0" collapsed="false">
      <c r="A15" s="1"/>
      <c r="B15" s="65"/>
      <c r="C15" s="66"/>
      <c r="D15" s="67"/>
      <c r="E15" s="68"/>
      <c r="F15" s="69"/>
      <c r="G15" s="70"/>
      <c r="H15" s="71"/>
      <c r="I15" s="1"/>
    </row>
    <row r="16" customFormat="false" ht="31.5" hidden="false" customHeight="true" outlineLevel="0" collapsed="false">
      <c r="A16" s="1"/>
      <c r="B16" s="72"/>
      <c r="C16" s="73"/>
      <c r="D16" s="74"/>
      <c r="E16" s="75"/>
      <c r="F16" s="76"/>
      <c r="G16" s="77"/>
      <c r="H16" s="78"/>
      <c r="I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9.5" hidden="false" customHeight="true" outlineLevel="0" collapsed="false">
      <c r="A18" s="1"/>
      <c r="B18" s="93" t="s">
        <v>147</v>
      </c>
      <c r="C18" s="93"/>
      <c r="D18" s="93"/>
      <c r="E18" s="93"/>
      <c r="F18" s="93"/>
      <c r="G18" s="93"/>
      <c r="H18" s="93"/>
      <c r="I18" s="1"/>
    </row>
    <row r="19" customFormat="false" ht="54" hidden="false" customHeight="true" outlineLevel="0" collapsed="false">
      <c r="A19" s="1"/>
      <c r="B19" s="94" t="s">
        <v>148</v>
      </c>
      <c r="C19" s="95" t="s">
        <v>149</v>
      </c>
      <c r="D19" s="95" t="s">
        <v>150</v>
      </c>
      <c r="E19" s="95" t="s">
        <v>151</v>
      </c>
      <c r="F19" s="95" t="s">
        <v>152</v>
      </c>
      <c r="G19" s="95" t="s">
        <v>153</v>
      </c>
      <c r="H19" s="95" t="s">
        <v>154</v>
      </c>
      <c r="I19" s="1"/>
    </row>
    <row r="20" customFormat="false" ht="42" hidden="false" customHeight="true" outlineLevel="0" collapsed="false">
      <c r="A20" s="1"/>
      <c r="B20" s="96" t="s">
        <v>155</v>
      </c>
      <c r="C20" s="97" t="s">
        <v>156</v>
      </c>
      <c r="D20" s="97" t="s">
        <v>157</v>
      </c>
      <c r="E20" s="97" t="s">
        <v>158</v>
      </c>
      <c r="F20" s="97" t="s">
        <v>159</v>
      </c>
      <c r="G20" s="97" t="s">
        <v>160</v>
      </c>
      <c r="H20" s="97" t="s">
        <v>161</v>
      </c>
      <c r="I20" s="1"/>
    </row>
    <row r="21" customFormat="false" ht="54" hidden="false" customHeight="true" outlineLevel="0" collapsed="false">
      <c r="A21" s="1"/>
      <c r="B21" s="94" t="s">
        <v>162</v>
      </c>
      <c r="C21" s="95" t="s">
        <v>163</v>
      </c>
      <c r="D21" s="95" t="s">
        <v>164</v>
      </c>
      <c r="E21" s="95" t="s">
        <v>165</v>
      </c>
      <c r="F21" s="95" t="s">
        <v>166</v>
      </c>
      <c r="G21" s="95" t="s">
        <v>167</v>
      </c>
      <c r="H21" s="95" t="s">
        <v>168</v>
      </c>
      <c r="I21" s="1"/>
    </row>
    <row r="22" customFormat="false" ht="54" hidden="false" customHeight="true" outlineLevel="0" collapsed="false">
      <c r="A22" s="1"/>
      <c r="B22" s="96" t="s">
        <v>169</v>
      </c>
      <c r="C22" s="97" t="s">
        <v>170</v>
      </c>
      <c r="D22" s="97" t="s">
        <v>171</v>
      </c>
      <c r="E22" s="97" t="s">
        <v>172</v>
      </c>
      <c r="F22" s="97" t="s">
        <v>173</v>
      </c>
      <c r="G22" s="97" t="s">
        <v>174</v>
      </c>
      <c r="H22" s="97" t="s">
        <v>175</v>
      </c>
      <c r="I22" s="1"/>
    </row>
    <row r="23" customFormat="false" ht="54" hidden="false" customHeight="true" outlineLevel="0" collapsed="false">
      <c r="A23" s="1"/>
      <c r="B23" s="94" t="s">
        <v>176</v>
      </c>
      <c r="C23" s="95" t="s">
        <v>177</v>
      </c>
      <c r="D23" s="95" t="s">
        <v>178</v>
      </c>
      <c r="E23" s="95" t="s">
        <v>179</v>
      </c>
      <c r="F23" s="95" t="s">
        <v>180</v>
      </c>
      <c r="G23" s="95" t="s">
        <v>181</v>
      </c>
      <c r="H23" s="95" t="s">
        <v>182</v>
      </c>
      <c r="I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9.5" hidden="false" customHeight="true" outlineLevel="0" collapsed="false">
      <c r="A25" s="1"/>
      <c r="B25" s="98" t="s">
        <v>183</v>
      </c>
      <c r="C25" s="98"/>
      <c r="D25" s="98"/>
      <c r="E25" s="98"/>
      <c r="F25" s="98"/>
      <c r="G25" s="98"/>
      <c r="H25" s="98"/>
      <c r="I25" s="1"/>
    </row>
    <row r="26" customFormat="false" ht="42" hidden="false" customHeight="true" outlineLevel="0" collapsed="false">
      <c r="A26" s="1"/>
      <c r="B26" s="99" t="s">
        <v>184</v>
      </c>
      <c r="C26" s="100" t="s">
        <v>185</v>
      </c>
      <c r="D26" s="100" t="s">
        <v>186</v>
      </c>
      <c r="E26" s="100" t="s">
        <v>187</v>
      </c>
      <c r="F26" s="100" t="s">
        <v>188</v>
      </c>
      <c r="G26" s="100" t="s">
        <v>189</v>
      </c>
      <c r="H26" s="100" t="s">
        <v>190</v>
      </c>
      <c r="I26" s="1"/>
    </row>
    <row r="27" customFormat="false" ht="42" hidden="false" customHeight="true" outlineLevel="0" collapsed="false">
      <c r="A27" s="1"/>
      <c r="B27" s="96" t="s">
        <v>191</v>
      </c>
      <c r="C27" s="97" t="s">
        <v>192</v>
      </c>
      <c r="D27" s="97" t="s">
        <v>193</v>
      </c>
      <c r="E27" s="97" t="s">
        <v>194</v>
      </c>
      <c r="F27" s="97" t="s">
        <v>195</v>
      </c>
      <c r="G27" s="97" t="s">
        <v>196</v>
      </c>
      <c r="H27" s="97" t="s">
        <v>197</v>
      </c>
      <c r="I27" s="1"/>
    </row>
    <row r="28" customFormat="false" ht="42" hidden="false" customHeight="true" outlineLevel="0" collapsed="false">
      <c r="A28" s="1"/>
      <c r="B28" s="99" t="s">
        <v>198</v>
      </c>
      <c r="C28" s="100" t="s">
        <v>199</v>
      </c>
      <c r="D28" s="100" t="s">
        <v>200</v>
      </c>
      <c r="E28" s="100" t="s">
        <v>201</v>
      </c>
      <c r="F28" s="100" t="s">
        <v>202</v>
      </c>
      <c r="G28" s="100" t="s">
        <v>203</v>
      </c>
      <c r="H28" s="100" t="s">
        <v>204</v>
      </c>
      <c r="I28" s="1"/>
    </row>
    <row r="29" customFormat="false" ht="42" hidden="false" customHeight="true" outlineLevel="0" collapsed="false">
      <c r="A29" s="1"/>
      <c r="B29" s="96" t="s">
        <v>205</v>
      </c>
      <c r="C29" s="97" t="s">
        <v>206</v>
      </c>
      <c r="D29" s="97" t="s">
        <v>207</v>
      </c>
      <c r="E29" s="97" t="s">
        <v>208</v>
      </c>
      <c r="F29" s="97" t="s">
        <v>209</v>
      </c>
      <c r="G29" s="97" t="s">
        <v>210</v>
      </c>
      <c r="H29" s="97" t="s">
        <v>211</v>
      </c>
      <c r="I29" s="1"/>
    </row>
    <row r="30" customFormat="false" ht="42" hidden="false" customHeight="true" outlineLevel="0" collapsed="false">
      <c r="A30" s="1"/>
      <c r="B30" s="99" t="s">
        <v>212</v>
      </c>
      <c r="C30" s="100" t="s">
        <v>213</v>
      </c>
      <c r="D30" s="100" t="s">
        <v>214</v>
      </c>
      <c r="E30" s="100" t="s">
        <v>215</v>
      </c>
      <c r="F30" s="100" t="s">
        <v>216</v>
      </c>
      <c r="G30" s="100" t="s">
        <v>217</v>
      </c>
      <c r="H30" s="100" t="s">
        <v>218</v>
      </c>
      <c r="I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30" hidden="false" customHeight="true" outlineLevel="0" collapsed="false">
      <c r="A32" s="1"/>
      <c r="B32" s="101" t="s">
        <v>219</v>
      </c>
      <c r="C32" s="101"/>
      <c r="D32" s="102" t="s">
        <v>220</v>
      </c>
      <c r="E32" s="102"/>
      <c r="F32" s="103" t="s">
        <v>221</v>
      </c>
      <c r="G32" s="104" t="s">
        <v>222</v>
      </c>
      <c r="H32" s="1"/>
      <c r="I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</row>
    <row r="100" customFormat="false" ht="18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</row>
    <row r="101" customFormat="false" ht="18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</row>
    <row r="102" customFormat="false" ht="18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</row>
    <row r="103" customFormat="false" ht="18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</row>
    <row r="104" customFormat="false" ht="18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</row>
    <row r="105" customFormat="false" ht="18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</row>
    <row r="106" customFormat="false" ht="18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</row>
    <row r="107" customFormat="false" ht="18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</row>
    <row r="108" customFormat="false" ht="18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</row>
    <row r="109" customFormat="false" ht="18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</row>
    <row r="110" customFormat="false" ht="18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</row>
    <row r="111" customFormat="false" ht="18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</row>
    <row r="112" customFormat="false" ht="18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</row>
    <row r="113" customFormat="false" ht="18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</row>
    <row r="114" customFormat="false" ht="18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</row>
    <row r="115" customFormat="false" ht="18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</row>
    <row r="116" customFormat="false" ht="18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</row>
    <row r="117" customFormat="false" ht="18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</row>
    <row r="118" customFormat="false" ht="18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</row>
    <row r="119" customFormat="false" ht="18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</row>
  </sheetData>
  <mergeCells count="7">
    <mergeCell ref="B2:H2"/>
    <mergeCell ref="B3:H3"/>
    <mergeCell ref="B6:H6"/>
    <mergeCell ref="B18:H18"/>
    <mergeCell ref="B25:H25"/>
    <mergeCell ref="B32:C32"/>
    <mergeCell ref="D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4" min="3" style="0" width="1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8" min="7" style="0" width="18"/>
    <col collapsed="false" customWidth="true" hidden="false" outlineLevel="0" max="9" min="9" style="0" width="52.44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1"/>
      <c r="B2" s="105" t="s">
        <v>223</v>
      </c>
      <c r="C2" s="105"/>
      <c r="D2" s="105"/>
      <c r="E2" s="105"/>
      <c r="F2" s="105"/>
      <c r="G2" s="105"/>
      <c r="H2" s="105"/>
      <c r="I2" s="1"/>
    </row>
    <row r="3" customFormat="false" ht="18" hidden="false" customHeight="true" outlineLevel="0" collapsed="false">
      <c r="A3" s="1"/>
      <c r="B3" s="106" t="s">
        <v>224</v>
      </c>
      <c r="C3" s="106"/>
      <c r="D3" s="106"/>
      <c r="E3" s="106"/>
      <c r="F3" s="106"/>
      <c r="G3" s="106"/>
      <c r="H3" s="106"/>
      <c r="I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42" hidden="false" customHeight="true" outlineLevel="0" collapsed="false">
      <c r="A5" s="1"/>
      <c r="B5" s="107" t="s">
        <v>225</v>
      </c>
      <c r="C5" s="108" t="s">
        <v>226</v>
      </c>
      <c r="D5" s="109" t="s">
        <v>227</v>
      </c>
      <c r="E5" s="110" t="s">
        <v>228</v>
      </c>
      <c r="F5" s="111" t="s">
        <v>229</v>
      </c>
      <c r="G5" s="112" t="s">
        <v>230</v>
      </c>
      <c r="H5" s="113" t="s">
        <v>231</v>
      </c>
      <c r="I5" s="113" t="s">
        <v>232</v>
      </c>
    </row>
    <row r="6" customFormat="false" ht="66.75" hidden="false" customHeight="true" outlineLevel="0" collapsed="false">
      <c r="A6" s="1"/>
      <c r="B6" s="114" t="s">
        <v>98</v>
      </c>
      <c r="C6" s="115" t="s">
        <v>233</v>
      </c>
      <c r="D6" s="115" t="s">
        <v>234</v>
      </c>
      <c r="E6" s="115" t="s">
        <v>235</v>
      </c>
      <c r="F6" s="115" t="s">
        <v>236</v>
      </c>
      <c r="G6" s="115" t="s">
        <v>237</v>
      </c>
      <c r="H6" s="115" t="s">
        <v>238</v>
      </c>
      <c r="I6" s="116" t="s">
        <v>239</v>
      </c>
    </row>
    <row r="7" customFormat="false" ht="54" hidden="false" customHeight="true" outlineLevel="0" collapsed="false">
      <c r="A7" s="1"/>
      <c r="B7" s="117" t="s">
        <v>105</v>
      </c>
      <c r="C7" s="97" t="s">
        <v>233</v>
      </c>
      <c r="D7" s="97" t="s">
        <v>240</v>
      </c>
      <c r="E7" s="97" t="s">
        <v>241</v>
      </c>
      <c r="F7" s="97" t="s">
        <v>242</v>
      </c>
      <c r="G7" s="97" t="s">
        <v>243</v>
      </c>
      <c r="H7" s="97" t="s">
        <v>244</v>
      </c>
      <c r="I7" s="116" t="s">
        <v>239</v>
      </c>
    </row>
    <row r="8" customFormat="false" ht="54" hidden="false" customHeight="true" outlineLevel="0" collapsed="false">
      <c r="A8" s="1"/>
      <c r="B8" s="114" t="s">
        <v>112</v>
      </c>
      <c r="C8" s="115" t="s">
        <v>233</v>
      </c>
      <c r="D8" s="115" t="s">
        <v>245</v>
      </c>
      <c r="E8" s="115" t="s">
        <v>246</v>
      </c>
      <c r="F8" s="115" t="s">
        <v>247</v>
      </c>
      <c r="G8" s="115" t="s">
        <v>243</v>
      </c>
      <c r="H8" s="115" t="s">
        <v>244</v>
      </c>
      <c r="I8" s="116" t="s">
        <v>239</v>
      </c>
    </row>
    <row r="9" customFormat="false" ht="54" hidden="false" customHeight="true" outlineLevel="0" collapsed="false">
      <c r="A9" s="1"/>
      <c r="B9" s="117" t="s">
        <v>119</v>
      </c>
      <c r="C9" s="97" t="s">
        <v>248</v>
      </c>
      <c r="D9" s="97" t="s">
        <v>249</v>
      </c>
      <c r="E9" s="97" t="s">
        <v>250</v>
      </c>
      <c r="F9" s="97" t="s">
        <v>251</v>
      </c>
      <c r="G9" s="97" t="s">
        <v>252</v>
      </c>
      <c r="H9" s="97" t="s">
        <v>253</v>
      </c>
      <c r="I9" s="116" t="s">
        <v>254</v>
      </c>
    </row>
    <row r="10" customFormat="false" ht="66.75" hidden="false" customHeight="true" outlineLevel="0" collapsed="false">
      <c r="A10" s="1"/>
      <c r="B10" s="114" t="s">
        <v>126</v>
      </c>
      <c r="C10" s="115" t="s">
        <v>255</v>
      </c>
      <c r="D10" s="115" t="s">
        <v>256</v>
      </c>
      <c r="E10" s="115" t="s">
        <v>257</v>
      </c>
      <c r="F10" s="115" t="s">
        <v>258</v>
      </c>
      <c r="G10" s="115" t="s">
        <v>259</v>
      </c>
      <c r="H10" s="115" t="s">
        <v>260</v>
      </c>
      <c r="I10" s="116" t="s">
        <v>254</v>
      </c>
    </row>
    <row r="11" customFormat="false" ht="66.75" hidden="false" customHeight="true" outlineLevel="0" collapsed="false">
      <c r="A11" s="1"/>
      <c r="B11" s="117" t="s">
        <v>133</v>
      </c>
      <c r="C11" s="97" t="s">
        <v>261</v>
      </c>
      <c r="D11" s="97" t="s">
        <v>262</v>
      </c>
      <c r="E11" s="97" t="s">
        <v>263</v>
      </c>
      <c r="F11" s="97" t="s">
        <v>264</v>
      </c>
      <c r="G11" s="97" t="s">
        <v>265</v>
      </c>
      <c r="H11" s="97" t="s">
        <v>266</v>
      </c>
      <c r="I11" s="118" t="s">
        <v>254</v>
      </c>
    </row>
    <row r="12" customFormat="false" ht="42" hidden="false" customHeight="true" outlineLevel="0" collapsed="false">
      <c r="A12" s="1"/>
      <c r="B12" s="114" t="s">
        <v>140</v>
      </c>
      <c r="C12" s="115" t="s">
        <v>267</v>
      </c>
      <c r="D12" s="115" t="s">
        <v>268</v>
      </c>
      <c r="E12" s="115" t="s">
        <v>269</v>
      </c>
      <c r="F12" s="115" t="s">
        <v>270</v>
      </c>
      <c r="G12" s="115" t="s">
        <v>271</v>
      </c>
      <c r="H12" s="115" t="s">
        <v>266</v>
      </c>
      <c r="I12" s="118" t="s">
        <v>272</v>
      </c>
    </row>
    <row r="13" customFormat="false" ht="31.5" hidden="false" customHeight="true" outlineLevel="0" collapsed="false">
      <c r="A13" s="1"/>
      <c r="B13" s="117"/>
      <c r="C13" s="97"/>
      <c r="D13" s="97"/>
      <c r="E13" s="97"/>
      <c r="F13" s="97"/>
      <c r="G13" s="97"/>
      <c r="H13" s="97"/>
      <c r="I13" s="118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21.75" hidden="false" customHeight="true" outlineLevel="0" collapsed="false">
      <c r="A16" s="1"/>
      <c r="B16" s="119" t="s">
        <v>273</v>
      </c>
      <c r="C16" s="119"/>
      <c r="D16" s="119"/>
      <c r="E16" s="119"/>
      <c r="F16" s="119"/>
      <c r="G16" s="119"/>
      <c r="H16" s="119"/>
      <c r="I16" s="1"/>
    </row>
    <row r="17" customFormat="false" ht="21.75" hidden="false" customHeight="true" outlineLevel="0" collapsed="false">
      <c r="A17" s="1"/>
      <c r="B17" s="120" t="s">
        <v>274</v>
      </c>
      <c r="C17" s="120"/>
      <c r="D17" s="121" t="s">
        <v>275</v>
      </c>
      <c r="E17" s="121"/>
      <c r="F17" s="121"/>
      <c r="G17" s="122"/>
      <c r="H17" s="122"/>
      <c r="I17" s="1"/>
    </row>
    <row r="18" customFormat="false" ht="21.75" hidden="false" customHeight="true" outlineLevel="0" collapsed="false">
      <c r="A18" s="1"/>
      <c r="B18" s="120" t="s">
        <v>276</v>
      </c>
      <c r="C18" s="120"/>
      <c r="D18" s="121" t="s">
        <v>277</v>
      </c>
      <c r="E18" s="121"/>
      <c r="F18" s="121"/>
      <c r="G18" s="122"/>
      <c r="H18" s="122"/>
      <c r="I18" s="1"/>
    </row>
    <row r="19" customFormat="false" ht="21.75" hidden="false" customHeight="true" outlineLevel="0" collapsed="false">
      <c r="A19" s="1"/>
      <c r="B19" s="120" t="s">
        <v>278</v>
      </c>
      <c r="C19" s="120"/>
      <c r="D19" s="121" t="s">
        <v>279</v>
      </c>
      <c r="E19" s="121"/>
      <c r="F19" s="121"/>
      <c r="G19" s="122"/>
      <c r="H19" s="122"/>
      <c r="I19" s="1"/>
    </row>
    <row r="20" customFormat="false" ht="21.75" hidden="false" customHeight="true" outlineLevel="0" collapsed="false">
      <c r="A20" s="1"/>
      <c r="B20" s="120" t="s">
        <v>280</v>
      </c>
      <c r="C20" s="120"/>
      <c r="D20" s="121" t="s">
        <v>281</v>
      </c>
      <c r="E20" s="121"/>
      <c r="F20" s="121"/>
      <c r="G20" s="122"/>
      <c r="H20" s="122"/>
      <c r="I20" s="1"/>
    </row>
    <row r="21" customFormat="false" ht="21.75" hidden="false" customHeight="true" outlineLevel="0" collapsed="false">
      <c r="A21" s="1"/>
      <c r="B21" s="120" t="s">
        <v>282</v>
      </c>
      <c r="C21" s="120"/>
      <c r="D21" s="121" t="s">
        <v>283</v>
      </c>
      <c r="E21" s="121"/>
      <c r="F21" s="121"/>
      <c r="G21" s="122"/>
      <c r="H21" s="122"/>
      <c r="I21" s="1"/>
    </row>
    <row r="22" customFormat="false" ht="21.75" hidden="false" customHeight="true" outlineLevel="0" collapsed="false">
      <c r="A22" s="1"/>
      <c r="B22" s="120" t="s">
        <v>284</v>
      </c>
      <c r="C22" s="120"/>
      <c r="D22" s="121" t="s">
        <v>285</v>
      </c>
      <c r="E22" s="121"/>
      <c r="F22" s="121"/>
      <c r="G22" s="122"/>
      <c r="H22" s="122"/>
      <c r="I22" s="1"/>
    </row>
    <row r="23" customFormat="false" ht="21.75" hidden="false" customHeight="true" outlineLevel="0" collapsed="false">
      <c r="A23" s="1"/>
      <c r="B23" s="120" t="s">
        <v>286</v>
      </c>
      <c r="C23" s="120"/>
      <c r="D23" s="121" t="s">
        <v>287</v>
      </c>
      <c r="E23" s="121"/>
      <c r="F23" s="121"/>
      <c r="G23" s="122"/>
      <c r="H23" s="122"/>
      <c r="I23" s="1"/>
    </row>
    <row r="24" customFormat="false" ht="30" hidden="false" customHeight="true" outlineLevel="0" collapsed="false">
      <c r="A24" s="1"/>
      <c r="B24" s="120" t="s">
        <v>288</v>
      </c>
      <c r="C24" s="120"/>
      <c r="D24" s="121" t="s">
        <v>289</v>
      </c>
      <c r="E24" s="121"/>
      <c r="F24" s="121"/>
      <c r="G24" s="122"/>
      <c r="H24" s="122"/>
      <c r="I24" s="1"/>
    </row>
    <row r="25" customFormat="false" ht="30" hidden="false" customHeight="true" outlineLevel="0" collapsed="false">
      <c r="A25" s="1"/>
      <c r="B25" s="120" t="s">
        <v>290</v>
      </c>
      <c r="C25" s="120"/>
      <c r="D25" s="121" t="s">
        <v>291</v>
      </c>
      <c r="E25" s="121"/>
      <c r="F25" s="121"/>
      <c r="G25" s="122"/>
      <c r="H25" s="122"/>
      <c r="I25" s="1"/>
    </row>
    <row r="26" customFormat="false" ht="30" hidden="false" customHeight="true" outlineLevel="0" collapsed="false">
      <c r="A26" s="1"/>
      <c r="B26" s="120" t="s">
        <v>292</v>
      </c>
      <c r="C26" s="120"/>
      <c r="D26" s="121" t="s">
        <v>293</v>
      </c>
      <c r="E26" s="121"/>
      <c r="F26" s="121"/>
      <c r="G26" s="122"/>
      <c r="H26" s="122"/>
      <c r="I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</row>
  </sheetData>
  <mergeCells count="33">
    <mergeCell ref="B2:H2"/>
    <mergeCell ref="B3:H3"/>
    <mergeCell ref="B16:H16"/>
    <mergeCell ref="B17:C17"/>
    <mergeCell ref="D17:F17"/>
    <mergeCell ref="G17:H17"/>
    <mergeCell ref="B18:C18"/>
    <mergeCell ref="D18:F18"/>
    <mergeCell ref="G18:H18"/>
    <mergeCell ref="B19:C19"/>
    <mergeCell ref="D19:F19"/>
    <mergeCell ref="G19:H19"/>
    <mergeCell ref="B20:C20"/>
    <mergeCell ref="D20:F20"/>
    <mergeCell ref="G20:H20"/>
    <mergeCell ref="B21:C21"/>
    <mergeCell ref="D21:F21"/>
    <mergeCell ref="G21:H21"/>
    <mergeCell ref="B22:C22"/>
    <mergeCell ref="D22:F22"/>
    <mergeCell ref="G22:H22"/>
    <mergeCell ref="B23:C23"/>
    <mergeCell ref="D23:F23"/>
    <mergeCell ref="G23:H23"/>
    <mergeCell ref="B24:C24"/>
    <mergeCell ref="D24:F24"/>
    <mergeCell ref="G24:H24"/>
    <mergeCell ref="B25:C25"/>
    <mergeCell ref="D25:F25"/>
    <mergeCell ref="G25:H25"/>
    <mergeCell ref="B26:C26"/>
    <mergeCell ref="D26:F26"/>
    <mergeCell ref="G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F26" activeCellId="0" sqref="F26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9.44"/>
    <col collapsed="false" customWidth="true" hidden="false" outlineLevel="0" max="3" min="3" style="0" width="23.78"/>
    <col collapsed="false" customWidth="true" hidden="false" outlineLevel="0" max="4" min="4" style="0" width="33.21"/>
    <col collapsed="false" customWidth="true" hidden="false" outlineLevel="0" max="5" min="5" style="0" width="33.33"/>
    <col collapsed="false" customWidth="true" hidden="false" outlineLevel="0" max="6" min="6" style="0" width="25.88"/>
    <col collapsed="false" customWidth="true" hidden="false" outlineLevel="0" max="7" min="7" style="0" width="21.77"/>
    <col collapsed="false" customWidth="true" hidden="false" outlineLevel="0" max="8" min="8" style="0" width="27.56"/>
    <col collapsed="false" customWidth="true" hidden="false" outlineLevel="0" max="9" min="9" style="0" width="6.56"/>
    <col collapsed="false" customWidth="true" hidden="false" outlineLevel="0" max="10" min="10" style="0" width="16.44"/>
  </cols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1"/>
      <c r="B2" s="123" t="s">
        <v>294</v>
      </c>
      <c r="C2" s="123"/>
      <c r="D2" s="123"/>
      <c r="E2" s="123"/>
      <c r="F2" s="123"/>
      <c r="G2" s="123"/>
      <c r="H2" s="123"/>
      <c r="I2" s="123"/>
      <c r="J2" s="1"/>
    </row>
    <row r="3" customFormat="false" ht="14.25" hidden="false" customHeight="false" outlineLevel="0" collapsed="false">
      <c r="A3" s="1"/>
      <c r="B3" s="124" t="s">
        <v>295</v>
      </c>
      <c r="C3" s="124"/>
      <c r="D3" s="124"/>
      <c r="E3" s="124"/>
      <c r="F3" s="124"/>
      <c r="G3" s="124"/>
      <c r="H3" s="124"/>
      <c r="I3" s="124"/>
      <c r="J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42" hidden="false" customHeight="true" outlineLevel="0" collapsed="false">
      <c r="A5" s="1"/>
      <c r="B5" s="108" t="s">
        <v>296</v>
      </c>
      <c r="C5" s="107" t="s">
        <v>297</v>
      </c>
      <c r="D5" s="111" t="s">
        <v>298</v>
      </c>
      <c r="E5" s="109" t="s">
        <v>299</v>
      </c>
      <c r="F5" s="110" t="s">
        <v>300</v>
      </c>
      <c r="G5" s="112" t="s">
        <v>301</v>
      </c>
      <c r="H5" s="113" t="s">
        <v>302</v>
      </c>
      <c r="I5" s="113" t="s">
        <v>303</v>
      </c>
      <c r="J5" s="125" t="s">
        <v>304</v>
      </c>
    </row>
    <row r="6" customFormat="false" ht="42" hidden="false" customHeight="true" outlineLevel="0" collapsed="false">
      <c r="A6" s="1"/>
      <c r="B6" s="126" t="s">
        <v>305</v>
      </c>
      <c r="C6" s="127" t="s">
        <v>306</v>
      </c>
      <c r="D6" s="127" t="s">
        <v>307</v>
      </c>
      <c r="E6" s="127" t="s">
        <v>308</v>
      </c>
      <c r="F6" s="128" t="s">
        <v>309</v>
      </c>
      <c r="G6" s="129" t="s">
        <v>310</v>
      </c>
      <c r="H6" s="127" t="s">
        <v>311</v>
      </c>
      <c r="I6" s="127" t="n">
        <v>3</v>
      </c>
      <c r="J6" s="130" t="s">
        <v>312</v>
      </c>
    </row>
    <row r="7" customFormat="false" ht="42" hidden="false" customHeight="true" outlineLevel="0" collapsed="false">
      <c r="A7" s="1"/>
      <c r="B7" s="126" t="s">
        <v>313</v>
      </c>
      <c r="C7" s="127" t="s">
        <v>306</v>
      </c>
      <c r="D7" s="127" t="s">
        <v>314</v>
      </c>
      <c r="E7" s="127" t="s">
        <v>315</v>
      </c>
      <c r="F7" s="128" t="s">
        <v>309</v>
      </c>
      <c r="G7" s="129" t="s">
        <v>310</v>
      </c>
      <c r="H7" s="127" t="s">
        <v>316</v>
      </c>
      <c r="I7" s="127" t="n">
        <v>2</v>
      </c>
      <c r="J7" s="130" t="s">
        <v>317</v>
      </c>
    </row>
    <row r="8" customFormat="false" ht="42" hidden="false" customHeight="true" outlineLevel="0" collapsed="false">
      <c r="A8" s="1"/>
      <c r="B8" s="126" t="s">
        <v>318</v>
      </c>
      <c r="C8" s="127" t="s">
        <v>319</v>
      </c>
      <c r="D8" s="127" t="s">
        <v>320</v>
      </c>
      <c r="E8" s="127" t="s">
        <v>321</v>
      </c>
      <c r="F8" s="128" t="s">
        <v>309</v>
      </c>
      <c r="G8" s="129" t="s">
        <v>310</v>
      </c>
      <c r="H8" s="127" t="s">
        <v>322</v>
      </c>
      <c r="I8" s="127" t="n">
        <v>2</v>
      </c>
      <c r="J8" s="130" t="s">
        <v>312</v>
      </c>
    </row>
    <row r="9" customFormat="false" ht="42" hidden="false" customHeight="true" outlineLevel="0" collapsed="false">
      <c r="A9" s="1"/>
      <c r="B9" s="126" t="s">
        <v>323</v>
      </c>
      <c r="C9" s="127" t="s">
        <v>324</v>
      </c>
      <c r="D9" s="127" t="s">
        <v>314</v>
      </c>
      <c r="E9" s="127" t="s">
        <v>325</v>
      </c>
      <c r="F9" s="128" t="s">
        <v>309</v>
      </c>
      <c r="G9" s="129" t="s">
        <v>310</v>
      </c>
      <c r="H9" s="127" t="s">
        <v>326</v>
      </c>
      <c r="I9" s="127" t="n">
        <v>2</v>
      </c>
      <c r="J9" s="130" t="s">
        <v>312</v>
      </c>
    </row>
    <row r="10" customFormat="false" ht="42" hidden="false" customHeight="true" outlineLevel="0" collapsed="false">
      <c r="A10" s="1"/>
      <c r="B10" s="126" t="s">
        <v>99</v>
      </c>
      <c r="C10" s="127" t="s">
        <v>327</v>
      </c>
      <c r="D10" s="127" t="s">
        <v>328</v>
      </c>
      <c r="E10" s="127" t="s">
        <v>329</v>
      </c>
      <c r="F10" s="128" t="s">
        <v>309</v>
      </c>
      <c r="G10" s="129" t="s">
        <v>310</v>
      </c>
      <c r="H10" s="127" t="s">
        <v>330</v>
      </c>
      <c r="I10" s="127" t="n">
        <v>4</v>
      </c>
      <c r="J10" s="130" t="s">
        <v>331</v>
      </c>
    </row>
    <row r="11" customFormat="false" ht="42" hidden="false" customHeight="true" outlineLevel="0" collapsed="false">
      <c r="A11" s="1"/>
      <c r="B11" s="126" t="s">
        <v>332</v>
      </c>
      <c r="C11" s="127" t="s">
        <v>333</v>
      </c>
      <c r="D11" s="127" t="s">
        <v>334</v>
      </c>
      <c r="E11" s="127" t="s">
        <v>335</v>
      </c>
      <c r="F11" s="128" t="s">
        <v>309</v>
      </c>
      <c r="G11" s="129" t="s">
        <v>310</v>
      </c>
      <c r="H11" s="127" t="s">
        <v>336</v>
      </c>
      <c r="I11" s="127" t="n">
        <v>3</v>
      </c>
      <c r="J11" s="130" t="s">
        <v>337</v>
      </c>
    </row>
    <row r="12" customFormat="false" ht="42" hidden="false" customHeight="true" outlineLevel="0" collapsed="false">
      <c r="A12" s="1"/>
      <c r="B12" s="94" t="s">
        <v>338</v>
      </c>
      <c r="C12" s="95" t="s">
        <v>339</v>
      </c>
      <c r="D12" s="95" t="s">
        <v>340</v>
      </c>
      <c r="E12" s="95" t="s">
        <v>341</v>
      </c>
      <c r="F12" s="120" t="s">
        <v>309</v>
      </c>
      <c r="G12" s="131" t="s">
        <v>310</v>
      </c>
      <c r="H12" s="95" t="s">
        <v>342</v>
      </c>
      <c r="I12" s="95" t="n">
        <v>4</v>
      </c>
      <c r="J12" s="15" t="s">
        <v>343</v>
      </c>
    </row>
    <row r="13" customFormat="false" ht="42" hidden="false" customHeight="true" outlineLevel="0" collapsed="false">
      <c r="A13" s="1"/>
      <c r="B13" s="94" t="s">
        <v>344</v>
      </c>
      <c r="C13" s="95" t="s">
        <v>345</v>
      </c>
      <c r="D13" s="95" t="s">
        <v>346</v>
      </c>
      <c r="E13" s="95" t="s">
        <v>347</v>
      </c>
      <c r="F13" s="120" t="s">
        <v>309</v>
      </c>
      <c r="G13" s="132" t="s">
        <v>310</v>
      </c>
      <c r="H13" s="95" t="s">
        <v>348</v>
      </c>
      <c r="I13" s="95" t="n">
        <v>4</v>
      </c>
      <c r="J13" s="15" t="s">
        <v>312</v>
      </c>
    </row>
    <row r="14" customFormat="false" ht="42" hidden="false" customHeight="true" outlineLevel="0" collapsed="false">
      <c r="A14" s="1"/>
      <c r="B14" s="126" t="s">
        <v>349</v>
      </c>
      <c r="C14" s="127" t="s">
        <v>327</v>
      </c>
      <c r="D14" s="127" t="s">
        <v>314</v>
      </c>
      <c r="E14" s="127" t="s">
        <v>350</v>
      </c>
      <c r="F14" s="128" t="s">
        <v>310</v>
      </c>
      <c r="G14" s="129" t="s">
        <v>310</v>
      </c>
      <c r="H14" s="127" t="s">
        <v>327</v>
      </c>
      <c r="I14" s="127" t="n">
        <v>3</v>
      </c>
      <c r="J14" s="130" t="s">
        <v>331</v>
      </c>
    </row>
    <row r="15" customFormat="false" ht="42" hidden="false" customHeight="true" outlineLevel="0" collapsed="false">
      <c r="A15" s="1"/>
      <c r="B15" s="133" t="s">
        <v>107</v>
      </c>
      <c r="C15" s="134" t="s">
        <v>351</v>
      </c>
      <c r="D15" s="134" t="s">
        <v>346</v>
      </c>
      <c r="E15" s="134" t="s">
        <v>352</v>
      </c>
      <c r="F15" s="118" t="s">
        <v>310</v>
      </c>
      <c r="G15" s="135" t="s">
        <v>310</v>
      </c>
      <c r="H15" s="134" t="s">
        <v>353</v>
      </c>
      <c r="I15" s="134" t="n">
        <v>4</v>
      </c>
      <c r="J15" s="84" t="s">
        <v>331</v>
      </c>
    </row>
    <row r="16" customFormat="false" ht="42" hidden="false" customHeight="true" outlineLevel="0" collapsed="false">
      <c r="A16" s="1"/>
      <c r="B16" s="94" t="s">
        <v>354</v>
      </c>
      <c r="C16" s="95" t="s">
        <v>355</v>
      </c>
      <c r="D16" s="95" t="s">
        <v>314</v>
      </c>
      <c r="E16" s="95" t="s">
        <v>356</v>
      </c>
      <c r="F16" s="120" t="s">
        <v>310</v>
      </c>
      <c r="G16" s="131" t="s">
        <v>310</v>
      </c>
      <c r="H16" s="95" t="s">
        <v>357</v>
      </c>
      <c r="I16" s="95" t="n">
        <v>5</v>
      </c>
      <c r="J16" s="15" t="s">
        <v>343</v>
      </c>
    </row>
    <row r="17" customFormat="false" ht="42" hidden="false" customHeight="true" outlineLevel="0" collapsed="false">
      <c r="A17" s="1"/>
      <c r="B17" s="94" t="s">
        <v>358</v>
      </c>
      <c r="C17" s="95" t="s">
        <v>359</v>
      </c>
      <c r="D17" s="95" t="s">
        <v>360</v>
      </c>
      <c r="E17" s="95" t="s">
        <v>361</v>
      </c>
      <c r="F17" s="120" t="s">
        <v>310</v>
      </c>
      <c r="G17" s="131" t="s">
        <v>310</v>
      </c>
      <c r="H17" s="95" t="s">
        <v>362</v>
      </c>
      <c r="I17" s="95" t="n">
        <v>1</v>
      </c>
      <c r="J17" s="15" t="s">
        <v>343</v>
      </c>
    </row>
    <row r="18" customFormat="false" ht="36" hidden="false" customHeight="true" outlineLevel="0" collapsed="false">
      <c r="A18" s="1"/>
      <c r="B18" s="94" t="s">
        <v>363</v>
      </c>
      <c r="C18" s="95" t="s">
        <v>355</v>
      </c>
      <c r="D18" s="95" t="s">
        <v>314</v>
      </c>
      <c r="E18" s="95" t="s">
        <v>364</v>
      </c>
      <c r="F18" s="120" t="s">
        <v>365</v>
      </c>
      <c r="G18" s="131" t="s">
        <v>366</v>
      </c>
      <c r="H18" s="95" t="s">
        <v>357</v>
      </c>
      <c r="I18" s="95" t="n">
        <v>4</v>
      </c>
      <c r="J18" s="15" t="s">
        <v>367</v>
      </c>
    </row>
    <row r="19" customFormat="false" ht="30" hidden="false" customHeight="true" outlineLevel="0" collapsed="false">
      <c r="A19" s="1"/>
      <c r="B19" s="133" t="s">
        <v>368</v>
      </c>
      <c r="C19" s="134" t="s">
        <v>369</v>
      </c>
      <c r="D19" s="134" t="s">
        <v>328</v>
      </c>
      <c r="E19" s="134" t="s">
        <v>370</v>
      </c>
      <c r="F19" s="118" t="s">
        <v>365</v>
      </c>
      <c r="G19" s="135" t="s">
        <v>366</v>
      </c>
      <c r="H19" s="134" t="s">
        <v>371</v>
      </c>
      <c r="I19" s="134" t="n">
        <v>5</v>
      </c>
      <c r="J19" s="84" t="s">
        <v>372</v>
      </c>
    </row>
    <row r="20" customFormat="false" ht="36" hidden="false" customHeight="true" outlineLevel="0" collapsed="false">
      <c r="A20" s="1"/>
      <c r="B20" s="133" t="s">
        <v>373</v>
      </c>
      <c r="C20" s="134" t="s">
        <v>374</v>
      </c>
      <c r="D20" s="134" t="s">
        <v>314</v>
      </c>
      <c r="E20" s="134" t="s">
        <v>375</v>
      </c>
      <c r="F20" s="118" t="s">
        <v>365</v>
      </c>
      <c r="G20" s="135" t="s">
        <v>366</v>
      </c>
      <c r="H20" s="134" t="s">
        <v>376</v>
      </c>
      <c r="I20" s="134" t="n">
        <v>5</v>
      </c>
      <c r="J20" s="84" t="s">
        <v>372</v>
      </c>
    </row>
    <row r="21" customFormat="false" ht="36" hidden="false" customHeight="true" outlineLevel="0" collapsed="false">
      <c r="A21" s="1"/>
      <c r="B21" s="133" t="s">
        <v>377</v>
      </c>
      <c r="C21" s="134" t="s">
        <v>345</v>
      </c>
      <c r="D21" s="134" t="s">
        <v>346</v>
      </c>
      <c r="E21" s="134" t="s">
        <v>378</v>
      </c>
      <c r="F21" s="118" t="s">
        <v>365</v>
      </c>
      <c r="G21" s="135" t="s">
        <v>366</v>
      </c>
      <c r="H21" s="134" t="s">
        <v>379</v>
      </c>
      <c r="I21" s="134" t="n">
        <v>2</v>
      </c>
      <c r="J21" s="84" t="s">
        <v>367</v>
      </c>
    </row>
    <row r="22" customFormat="false" ht="36" hidden="false" customHeight="true" outlineLevel="0" collapsed="false">
      <c r="A22" s="1"/>
      <c r="B22" s="133" t="s">
        <v>380</v>
      </c>
      <c r="C22" s="134" t="s">
        <v>381</v>
      </c>
      <c r="D22" s="134" t="s">
        <v>314</v>
      </c>
      <c r="E22" s="134" t="s">
        <v>382</v>
      </c>
      <c r="F22" s="118" t="s">
        <v>365</v>
      </c>
      <c r="G22" s="135" t="s">
        <v>310</v>
      </c>
      <c r="H22" s="134" t="s">
        <v>383</v>
      </c>
      <c r="I22" s="134" t="n">
        <v>2</v>
      </c>
      <c r="J22" s="84" t="s">
        <v>312</v>
      </c>
    </row>
    <row r="23" customFormat="false" ht="36" hidden="false" customHeight="true" outlineLevel="0" collapsed="false">
      <c r="A23" s="1"/>
      <c r="B23" s="133" t="s">
        <v>384</v>
      </c>
      <c r="C23" s="134" t="s">
        <v>339</v>
      </c>
      <c r="D23" s="134" t="s">
        <v>314</v>
      </c>
      <c r="E23" s="134" t="s">
        <v>385</v>
      </c>
      <c r="F23" s="118" t="s">
        <v>365</v>
      </c>
      <c r="G23" s="135" t="s">
        <v>366</v>
      </c>
      <c r="H23" s="134" t="s">
        <v>339</v>
      </c>
      <c r="I23" s="134" t="n">
        <v>3</v>
      </c>
      <c r="J23" s="84" t="s">
        <v>372</v>
      </c>
    </row>
    <row r="24" customFormat="false" ht="36" hidden="false" customHeight="true" outlineLevel="0" collapsed="false">
      <c r="A24" s="1"/>
      <c r="B24" s="133" t="s">
        <v>386</v>
      </c>
      <c r="C24" s="134" t="s">
        <v>387</v>
      </c>
      <c r="D24" s="134" t="s">
        <v>314</v>
      </c>
      <c r="E24" s="134" t="s">
        <v>388</v>
      </c>
      <c r="F24" s="118" t="s">
        <v>389</v>
      </c>
      <c r="G24" s="135" t="s">
        <v>366</v>
      </c>
      <c r="H24" s="134" t="s">
        <v>390</v>
      </c>
      <c r="I24" s="134" t="n">
        <v>5</v>
      </c>
      <c r="J24" s="84" t="s">
        <v>391</v>
      </c>
    </row>
    <row r="25" customFormat="false" ht="36" hidden="false" customHeight="true" outlineLevel="0" collapsed="false">
      <c r="A25" s="1"/>
      <c r="B25" s="133" t="s">
        <v>392</v>
      </c>
      <c r="C25" s="134" t="s">
        <v>393</v>
      </c>
      <c r="D25" s="134" t="s">
        <v>314</v>
      </c>
      <c r="E25" s="134" t="s">
        <v>394</v>
      </c>
      <c r="F25" s="118" t="s">
        <v>389</v>
      </c>
      <c r="G25" s="135" t="s">
        <v>366</v>
      </c>
      <c r="H25" s="134" t="s">
        <v>390</v>
      </c>
      <c r="I25" s="134" t="n">
        <v>5</v>
      </c>
      <c r="J25" s="84" t="s">
        <v>391</v>
      </c>
    </row>
    <row r="26" customFormat="false" ht="14.2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35.25" hidden="false" customHeight="true" outlineLevel="0" collapsed="false">
      <c r="A27" s="1"/>
      <c r="B27" s="1" t="s">
        <v>395</v>
      </c>
      <c r="C27" s="1" t="s">
        <v>396</v>
      </c>
      <c r="D27" s="1" t="n">
        <f aca="false">COUNTIF(F6:F25,"M")</f>
        <v>8</v>
      </c>
      <c r="E27" s="136" t="n">
        <f aca="false">D27/COUNTA(F6:F25)</f>
        <v>0.4</v>
      </c>
      <c r="F27" s="137" t="s">
        <v>397</v>
      </c>
      <c r="G27" s="1"/>
      <c r="H27" s="1"/>
      <c r="I27" s="1"/>
      <c r="J27" s="1"/>
    </row>
    <row r="28" customFormat="false" ht="14.2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4.2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4.2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4.2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4.2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4.2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4.2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4.2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4.2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4.2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4.2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4.2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4.2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4.2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4.2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4.2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4.2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4.2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4.2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4.2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4.2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4.2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4.2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4.2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4.2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4.2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4.2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4.2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4.2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4.2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4.2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4.2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4.2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4.2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4.2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4.2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4.2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4.2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4.2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4.2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4.2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4.2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4.2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4.2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4.2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4.2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4.2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4.2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4.2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4.2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4.2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4.2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4.2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4.2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4.2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4.2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4.2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4.2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4.2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4.2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4.2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4.2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4.2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4.2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4.2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4.2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4.2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4.2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4.2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4.2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4.2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4.2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E8" activeCellId="0" sqref="E8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7.11"/>
    <col collapsed="false" customWidth="true" hidden="false" outlineLevel="0" max="3" min="3" style="0" width="28.88"/>
    <col collapsed="false" customWidth="true" hidden="false" outlineLevel="0" max="4" min="4" style="0" width="29"/>
    <col collapsed="false" customWidth="true" hidden="false" outlineLevel="0" max="5" min="5" style="0" width="32.34"/>
    <col collapsed="false" customWidth="true" hidden="false" outlineLevel="0" max="6" min="6" style="0" width="17.33"/>
    <col collapsed="false" customWidth="true" hidden="false" outlineLevel="0" max="7" min="7" style="0" width="13.11"/>
    <col collapsed="false" customWidth="true" hidden="false" outlineLevel="0" max="8" min="8" style="0" width="11.11"/>
    <col collapsed="false" customWidth="true" hidden="false" outlineLevel="0" max="9" min="9" style="0" width="21"/>
  </cols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"/>
      <c r="B2" s="138" t="s">
        <v>398</v>
      </c>
      <c r="C2" s="138"/>
      <c r="D2" s="138"/>
      <c r="E2" s="138"/>
      <c r="F2" s="138"/>
      <c r="G2" s="138"/>
      <c r="H2" s="138"/>
      <c r="I2" s="1"/>
    </row>
    <row r="3" customFormat="fals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8" hidden="false" customHeight="true" outlineLevel="0" collapsed="false">
      <c r="A5" s="1"/>
      <c r="B5" s="110" t="s">
        <v>399</v>
      </c>
      <c r="C5" s="107" t="s">
        <v>226</v>
      </c>
      <c r="D5" s="111" t="s">
        <v>400</v>
      </c>
      <c r="E5" s="109" t="s">
        <v>401</v>
      </c>
      <c r="F5" s="108" t="s">
        <v>306</v>
      </c>
      <c r="G5" s="112" t="s">
        <v>402</v>
      </c>
      <c r="H5" s="113" t="s">
        <v>403</v>
      </c>
      <c r="I5" s="113" t="s">
        <v>404</v>
      </c>
    </row>
    <row r="6" customFormat="false" ht="30" hidden="false" customHeight="true" outlineLevel="0" collapsed="false">
      <c r="A6" s="1"/>
      <c r="B6" s="128" t="s">
        <v>405</v>
      </c>
      <c r="C6" s="127" t="s">
        <v>406</v>
      </c>
      <c r="D6" s="127" t="s">
        <v>407</v>
      </c>
      <c r="E6" s="127" t="s">
        <v>408</v>
      </c>
      <c r="F6" s="127" t="s">
        <v>409</v>
      </c>
      <c r="G6" s="127" t="s">
        <v>410</v>
      </c>
      <c r="H6" s="127" t="s">
        <v>411</v>
      </c>
      <c r="I6" s="139" t="s">
        <v>412</v>
      </c>
    </row>
    <row r="7" customFormat="false" ht="42" hidden="false" customHeight="true" outlineLevel="0" collapsed="false">
      <c r="A7" s="1"/>
      <c r="B7" s="128" t="s">
        <v>413</v>
      </c>
      <c r="C7" s="127" t="s">
        <v>414</v>
      </c>
      <c r="D7" s="127" t="s">
        <v>415</v>
      </c>
      <c r="E7" s="127" t="s">
        <v>416</v>
      </c>
      <c r="F7" s="127" t="s">
        <v>417</v>
      </c>
      <c r="G7" s="127" t="s">
        <v>418</v>
      </c>
      <c r="H7" s="127" t="s">
        <v>419</v>
      </c>
      <c r="I7" s="139" t="s">
        <v>412</v>
      </c>
    </row>
    <row r="8" customFormat="false" ht="42" hidden="false" customHeight="true" outlineLevel="0" collapsed="false">
      <c r="A8" s="1"/>
      <c r="B8" s="128" t="s">
        <v>420</v>
      </c>
      <c r="C8" s="127" t="s">
        <v>162</v>
      </c>
      <c r="D8" s="127" t="s">
        <v>421</v>
      </c>
      <c r="E8" s="127" t="s">
        <v>422</v>
      </c>
      <c r="F8" s="127" t="s">
        <v>423</v>
      </c>
      <c r="G8" s="127" t="s">
        <v>424</v>
      </c>
      <c r="H8" s="127" t="s">
        <v>425</v>
      </c>
      <c r="I8" s="139" t="s">
        <v>412</v>
      </c>
    </row>
    <row r="9" customFormat="false" ht="42" hidden="false" customHeight="true" outlineLevel="0" collapsed="false">
      <c r="A9" s="1"/>
      <c r="B9" s="128" t="s">
        <v>426</v>
      </c>
      <c r="C9" s="127" t="s">
        <v>427</v>
      </c>
      <c r="D9" s="127" t="s">
        <v>428</v>
      </c>
      <c r="E9" s="127" t="s">
        <v>429</v>
      </c>
      <c r="F9" s="127" t="s">
        <v>430</v>
      </c>
      <c r="G9" s="127" t="s">
        <v>431</v>
      </c>
      <c r="H9" s="127" t="s">
        <v>432</v>
      </c>
      <c r="I9" s="139" t="s">
        <v>412</v>
      </c>
    </row>
    <row r="10" customFormat="false" ht="42" hidden="false" customHeight="true" outlineLevel="0" collapsed="false">
      <c r="A10" s="1"/>
      <c r="B10" s="140" t="s">
        <v>433</v>
      </c>
      <c r="C10" s="134" t="s">
        <v>434</v>
      </c>
      <c r="D10" s="134" t="s">
        <v>435</v>
      </c>
      <c r="E10" s="134" t="s">
        <v>436</v>
      </c>
      <c r="F10" s="134" t="s">
        <v>437</v>
      </c>
      <c r="G10" s="134" t="s">
        <v>438</v>
      </c>
      <c r="H10" s="134" t="s">
        <v>439</v>
      </c>
      <c r="I10" s="118" t="s">
        <v>440</v>
      </c>
    </row>
    <row r="11" customFormat="false" ht="42" hidden="false" customHeight="true" outlineLevel="0" collapsed="false">
      <c r="A11" s="1"/>
      <c r="B11" s="140" t="s">
        <v>441</v>
      </c>
      <c r="C11" s="134" t="s">
        <v>442</v>
      </c>
      <c r="D11" s="134" t="s">
        <v>443</v>
      </c>
      <c r="E11" s="134" t="s">
        <v>444</v>
      </c>
      <c r="F11" s="134" t="s">
        <v>445</v>
      </c>
      <c r="G11" s="134" t="s">
        <v>446</v>
      </c>
      <c r="H11" s="134" t="s">
        <v>447</v>
      </c>
      <c r="I11" s="118" t="s">
        <v>440</v>
      </c>
    </row>
    <row r="12" customFormat="false" ht="30" hidden="false" customHeight="true" outlineLevel="0" collapsed="false">
      <c r="A12" s="1"/>
      <c r="B12" s="140" t="s">
        <v>448</v>
      </c>
      <c r="C12" s="134" t="s">
        <v>449</v>
      </c>
      <c r="D12" s="134" t="s">
        <v>450</v>
      </c>
      <c r="E12" s="134" t="s">
        <v>451</v>
      </c>
      <c r="F12" s="134" t="s">
        <v>452</v>
      </c>
      <c r="G12" s="134" t="s">
        <v>431</v>
      </c>
      <c r="H12" s="134" t="s">
        <v>453</v>
      </c>
      <c r="I12" s="118" t="s">
        <v>454</v>
      </c>
    </row>
    <row r="13" customFormat="false" ht="42" hidden="false" customHeight="true" outlineLevel="0" collapsed="false">
      <c r="A13" s="1"/>
      <c r="B13" s="128" t="s">
        <v>455</v>
      </c>
      <c r="C13" s="127" t="s">
        <v>456</v>
      </c>
      <c r="D13" s="127" t="s">
        <v>457</v>
      </c>
      <c r="E13" s="127" t="s">
        <v>458</v>
      </c>
      <c r="F13" s="127" t="s">
        <v>459</v>
      </c>
      <c r="G13" s="127" t="s">
        <v>460</v>
      </c>
      <c r="H13" s="127" t="s">
        <v>461</v>
      </c>
      <c r="I13" s="139" t="s">
        <v>440</v>
      </c>
    </row>
    <row r="14" customFormat="false" ht="30" hidden="false" customHeight="true" outlineLevel="0" collapsed="false">
      <c r="A14" s="1"/>
      <c r="B14" s="140" t="s">
        <v>462</v>
      </c>
      <c r="C14" s="134" t="s">
        <v>463</v>
      </c>
      <c r="D14" s="134" t="s">
        <v>464</v>
      </c>
      <c r="E14" s="134" t="s">
        <v>465</v>
      </c>
      <c r="F14" s="134" t="s">
        <v>466</v>
      </c>
      <c r="G14" s="134" t="s">
        <v>431</v>
      </c>
      <c r="H14" s="134" t="s">
        <v>467</v>
      </c>
      <c r="I14" s="118" t="s">
        <v>440</v>
      </c>
    </row>
    <row r="15" customFormat="false" ht="24" hidden="false" customHeight="true" outlineLevel="0" collapsed="false">
      <c r="A15" s="1"/>
      <c r="B15" s="140"/>
      <c r="C15" s="134"/>
      <c r="D15" s="134"/>
      <c r="E15" s="134"/>
      <c r="F15" s="134"/>
      <c r="G15" s="134"/>
      <c r="H15" s="134"/>
      <c r="I15" s="118"/>
    </row>
    <row r="16" customFormat="false" ht="24" hidden="false" customHeight="true" outlineLevel="0" collapsed="false">
      <c r="A16" s="1"/>
      <c r="B16" s="141"/>
      <c r="C16" s="115"/>
      <c r="D16" s="115"/>
      <c r="E16" s="115"/>
      <c r="F16" s="115"/>
      <c r="G16" s="115"/>
      <c r="H16" s="115"/>
      <c r="I16" s="53"/>
    </row>
    <row r="17" customFormat="false" ht="24" hidden="false" customHeight="true" outlineLevel="0" collapsed="false">
      <c r="A17" s="1"/>
      <c r="B17" s="140"/>
      <c r="C17" s="134"/>
      <c r="D17" s="134"/>
      <c r="E17" s="134"/>
      <c r="F17" s="134"/>
      <c r="G17" s="134"/>
      <c r="H17" s="134"/>
      <c r="I17" s="118"/>
    </row>
    <row r="18" customFormat="false" ht="24" hidden="false" customHeight="true" outlineLevel="0" collapsed="false">
      <c r="A18" s="1"/>
      <c r="B18" s="141"/>
      <c r="C18" s="115"/>
      <c r="D18" s="115"/>
      <c r="E18" s="115"/>
      <c r="F18" s="115"/>
      <c r="G18" s="115"/>
      <c r="H18" s="115"/>
      <c r="I18" s="53"/>
    </row>
    <row r="19" customFormat="false" ht="24" hidden="false" customHeight="true" outlineLevel="0" collapsed="false">
      <c r="A19" s="1"/>
      <c r="B19" s="140"/>
      <c r="C19" s="134"/>
      <c r="D19" s="134"/>
      <c r="E19" s="134"/>
      <c r="F19" s="134"/>
      <c r="G19" s="134"/>
      <c r="H19" s="134"/>
      <c r="I19" s="118"/>
    </row>
    <row r="20" customFormat="false" ht="24" hidden="false" customHeight="true" outlineLevel="0" collapsed="false">
      <c r="A20" s="1"/>
      <c r="B20" s="141"/>
      <c r="C20" s="115"/>
      <c r="D20" s="115"/>
      <c r="E20" s="115"/>
      <c r="F20" s="115"/>
      <c r="G20" s="115"/>
      <c r="H20" s="115"/>
      <c r="I20" s="53"/>
    </row>
    <row r="21" customFormat="false" ht="14.25" hidden="false" customHeight="false" outlineLevel="0" collapsed="false">
      <c r="A21" s="1"/>
      <c r="B21" s="142"/>
      <c r="C21" s="97"/>
      <c r="D21" s="97"/>
      <c r="E21" s="97"/>
      <c r="F21" s="97"/>
      <c r="G21" s="97"/>
      <c r="H21" s="97"/>
      <c r="I21" s="143"/>
    </row>
    <row r="22" customFormat="false" ht="14.25" hidden="false" customHeight="false" outlineLevel="0" collapsed="false">
      <c r="A22" s="1"/>
      <c r="B22" s="142"/>
      <c r="C22" s="97"/>
      <c r="D22" s="97"/>
      <c r="E22" s="97"/>
      <c r="F22" s="97"/>
      <c r="G22" s="97"/>
      <c r="H22" s="97"/>
      <c r="I22" s="143"/>
    </row>
    <row r="23" customFormat="false" ht="14.2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4.2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4.2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4.2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4.2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4.2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4.2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4.2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4.2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4.2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4.2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4.2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4.2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4.2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4.2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4.2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4.2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4.2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4.2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4.2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4.2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4.2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4.2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4.2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4.2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4.2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4.2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4.2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4.2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4.2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4.2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4.2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4.2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4.2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4.2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4.2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4.2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4.2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4.2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4.2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4.2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4.2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4.2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4.2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4.2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4.2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4.2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4.2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4.2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4.2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4.2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4.2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4.2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4.2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4.2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4.2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4.2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G37" activeCellId="0" sqref="G37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.44"/>
    <col collapsed="false" customWidth="true" hidden="false" outlineLevel="0" max="3" min="3" style="0" width="18.67"/>
    <col collapsed="false" customWidth="true" hidden="false" outlineLevel="0" max="4" min="4" style="0" width="12"/>
    <col collapsed="false" customWidth="true" hidden="false" outlineLevel="0" max="5" min="5" style="0" width="17.88"/>
    <col collapsed="false" customWidth="true" hidden="false" outlineLevel="0" max="6" min="6" style="0" width="33.44"/>
    <col collapsed="false" customWidth="true" hidden="false" outlineLevel="0" max="7" min="7" style="0" width="22.22"/>
    <col collapsed="false" customWidth="true" hidden="false" outlineLevel="0" max="8" min="8" style="0" width="41.77"/>
    <col collapsed="false" customWidth="true" hidden="false" outlineLevel="0" max="9" min="9" style="0" width="2"/>
  </cols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"/>
      <c r="B2" s="144" t="s">
        <v>468</v>
      </c>
      <c r="C2" s="144"/>
      <c r="D2" s="144"/>
      <c r="E2" s="144"/>
      <c r="F2" s="144"/>
      <c r="G2" s="144"/>
      <c r="H2" s="144"/>
      <c r="I2" s="1"/>
    </row>
    <row r="3" customFormat="false" ht="14.25" hidden="false" customHeight="false" outlineLevel="0" collapsed="false">
      <c r="A3" s="1"/>
      <c r="B3" s="145" t="s">
        <v>469</v>
      </c>
      <c r="C3" s="145"/>
      <c r="D3" s="145"/>
      <c r="E3" s="145"/>
      <c r="F3" s="145"/>
      <c r="G3" s="145"/>
      <c r="H3" s="145"/>
      <c r="I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4.2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9.5" hidden="false" customHeight="true" outlineLevel="0" collapsed="false">
      <c r="A6" s="1"/>
      <c r="B6" s="146" t="s">
        <v>470</v>
      </c>
      <c r="C6" s="146"/>
      <c r="D6" s="146"/>
      <c r="E6" s="146"/>
      <c r="F6" s="146"/>
      <c r="G6" s="146"/>
      <c r="H6" s="146"/>
      <c r="I6" s="1"/>
    </row>
    <row r="7" customFormat="false" ht="28.5" hidden="false" customHeight="true" outlineLevel="0" collapsed="false">
      <c r="A7" s="1"/>
      <c r="B7" s="147" t="s">
        <v>471</v>
      </c>
      <c r="C7" s="148" t="s">
        <v>472</v>
      </c>
      <c r="D7" s="149" t="s">
        <v>473</v>
      </c>
      <c r="E7" s="149" t="s">
        <v>474</v>
      </c>
      <c r="F7" s="147" t="s">
        <v>475</v>
      </c>
      <c r="G7" s="150" t="s">
        <v>476</v>
      </c>
      <c r="H7" s="151" t="s">
        <v>477</v>
      </c>
      <c r="I7" s="1"/>
    </row>
    <row r="8" customFormat="false" ht="54" hidden="false" customHeight="true" outlineLevel="0" collapsed="false">
      <c r="A8" s="1"/>
      <c r="B8" s="96" t="s">
        <v>478</v>
      </c>
      <c r="C8" s="97" t="s">
        <v>479</v>
      </c>
      <c r="D8" s="97" t="n">
        <v>3</v>
      </c>
      <c r="E8" s="97" t="n">
        <v>5</v>
      </c>
      <c r="F8" s="152" t="n">
        <f aca="false">D8*E8</f>
        <v>15</v>
      </c>
      <c r="G8" s="97" t="s">
        <v>480</v>
      </c>
      <c r="H8" s="97" t="s">
        <v>481</v>
      </c>
      <c r="I8" s="1"/>
    </row>
    <row r="9" customFormat="false" ht="42" hidden="false" customHeight="true" outlineLevel="0" collapsed="false">
      <c r="A9" s="1"/>
      <c r="B9" s="133" t="s">
        <v>482</v>
      </c>
      <c r="C9" s="134" t="s">
        <v>479</v>
      </c>
      <c r="D9" s="134" t="n">
        <v>3</v>
      </c>
      <c r="E9" s="134" t="n">
        <v>4</v>
      </c>
      <c r="F9" s="153" t="n">
        <f aca="false">D9*E9</f>
        <v>12</v>
      </c>
      <c r="G9" s="134" t="s">
        <v>483</v>
      </c>
      <c r="H9" s="134" t="s">
        <v>484</v>
      </c>
      <c r="I9" s="1"/>
    </row>
    <row r="10" customFormat="false" ht="54" hidden="false" customHeight="true" outlineLevel="0" collapsed="false">
      <c r="A10" s="1"/>
      <c r="B10" s="96" t="s">
        <v>485</v>
      </c>
      <c r="C10" s="97" t="s">
        <v>479</v>
      </c>
      <c r="D10" s="97" t="n">
        <v>2</v>
      </c>
      <c r="E10" s="97" t="n">
        <v>4</v>
      </c>
      <c r="F10" s="152" t="n">
        <f aca="false">D10*E10</f>
        <v>8</v>
      </c>
      <c r="G10" s="97" t="s">
        <v>486</v>
      </c>
      <c r="H10" s="97" t="s">
        <v>487</v>
      </c>
      <c r="I10" s="1"/>
    </row>
    <row r="11" customFormat="false" ht="42" hidden="false" customHeight="true" outlineLevel="0" collapsed="false">
      <c r="A11" s="1"/>
      <c r="B11" s="133" t="s">
        <v>488</v>
      </c>
      <c r="C11" s="134" t="s">
        <v>479</v>
      </c>
      <c r="D11" s="134" t="n">
        <v>2</v>
      </c>
      <c r="E11" s="134" t="n">
        <v>3</v>
      </c>
      <c r="F11" s="153" t="n">
        <f aca="false">D11*E11</f>
        <v>6</v>
      </c>
      <c r="G11" s="134" t="s">
        <v>489</v>
      </c>
      <c r="H11" s="134" t="s">
        <v>490</v>
      </c>
      <c r="I11" s="1"/>
    </row>
    <row r="12" customFormat="false" ht="42" hidden="false" customHeight="true" outlineLevel="0" collapsed="false">
      <c r="A12" s="1"/>
      <c r="B12" s="96" t="s">
        <v>491</v>
      </c>
      <c r="C12" s="97" t="s">
        <v>479</v>
      </c>
      <c r="D12" s="97" t="n">
        <v>3</v>
      </c>
      <c r="E12" s="97" t="n">
        <v>3</v>
      </c>
      <c r="F12" s="152" t="n">
        <f aca="false">D12*E12</f>
        <v>9</v>
      </c>
      <c r="G12" s="97" t="s">
        <v>492</v>
      </c>
      <c r="H12" s="97" t="s">
        <v>493</v>
      </c>
      <c r="I12" s="1"/>
    </row>
    <row r="13" customFormat="false" ht="14.2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14.2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19.5" hidden="false" customHeight="true" outlineLevel="0" collapsed="false">
      <c r="A15" s="1"/>
      <c r="B15" s="154" t="s">
        <v>494</v>
      </c>
      <c r="C15" s="154"/>
      <c r="D15" s="154"/>
      <c r="E15" s="154"/>
      <c r="F15" s="154"/>
      <c r="G15" s="154"/>
      <c r="H15" s="154"/>
      <c r="I15" s="1"/>
    </row>
    <row r="16" customFormat="false" ht="28.5" hidden="false" customHeight="true" outlineLevel="0" collapsed="false">
      <c r="A16" s="1"/>
      <c r="B16" s="149" t="s">
        <v>471</v>
      </c>
      <c r="C16" s="148" t="s">
        <v>472</v>
      </c>
      <c r="D16" s="149" t="s">
        <v>473</v>
      </c>
      <c r="E16" s="149" t="s">
        <v>474</v>
      </c>
      <c r="F16" s="147" t="s">
        <v>475</v>
      </c>
      <c r="G16" s="150" t="s">
        <v>476</v>
      </c>
      <c r="H16" s="151" t="s">
        <v>477</v>
      </c>
      <c r="I16" s="1"/>
    </row>
    <row r="17" customFormat="false" ht="42" hidden="false" customHeight="true" outlineLevel="0" collapsed="false">
      <c r="A17" s="1"/>
      <c r="B17" s="133" t="s">
        <v>495</v>
      </c>
      <c r="C17" s="134" t="s">
        <v>496</v>
      </c>
      <c r="D17" s="134" t="n">
        <v>4</v>
      </c>
      <c r="E17" s="134" t="n">
        <v>4</v>
      </c>
      <c r="F17" s="153" t="n">
        <f aca="false">D17*E17</f>
        <v>16</v>
      </c>
      <c r="G17" s="134" t="s">
        <v>497</v>
      </c>
      <c r="H17" s="134" t="s">
        <v>498</v>
      </c>
      <c r="I17" s="1"/>
    </row>
    <row r="18" customFormat="false" ht="42" hidden="false" customHeight="true" outlineLevel="0" collapsed="false">
      <c r="A18" s="1"/>
      <c r="B18" s="96" t="s">
        <v>499</v>
      </c>
      <c r="C18" s="97" t="s">
        <v>496</v>
      </c>
      <c r="D18" s="97" t="n">
        <v>2</v>
      </c>
      <c r="E18" s="97" t="n">
        <v>5</v>
      </c>
      <c r="F18" s="153" t="n">
        <f aca="false">D18*E18</f>
        <v>10</v>
      </c>
      <c r="G18" s="97" t="s">
        <v>500</v>
      </c>
      <c r="H18" s="97" t="s">
        <v>501</v>
      </c>
      <c r="I18" s="1"/>
    </row>
    <row r="19" customFormat="false" ht="42" hidden="false" customHeight="true" outlineLevel="0" collapsed="false">
      <c r="A19" s="1"/>
      <c r="B19" s="133" t="s">
        <v>502</v>
      </c>
      <c r="C19" s="134" t="s">
        <v>496</v>
      </c>
      <c r="D19" s="134" t="n">
        <v>3</v>
      </c>
      <c r="E19" s="134" t="n">
        <v>3</v>
      </c>
      <c r="F19" s="153" t="n">
        <f aca="false">D19*E19</f>
        <v>9</v>
      </c>
      <c r="G19" s="134" t="s">
        <v>503</v>
      </c>
      <c r="H19" s="134" t="s">
        <v>504</v>
      </c>
      <c r="I19" s="1"/>
    </row>
    <row r="20" customFormat="false" ht="42" hidden="false" customHeight="true" outlineLevel="0" collapsed="false">
      <c r="A20" s="1"/>
      <c r="B20" s="96" t="s">
        <v>505</v>
      </c>
      <c r="C20" s="97" t="s">
        <v>496</v>
      </c>
      <c r="D20" s="97" t="n">
        <v>3</v>
      </c>
      <c r="E20" s="97" t="n">
        <v>3</v>
      </c>
      <c r="F20" s="153" t="n">
        <f aca="false">D20*E20</f>
        <v>9</v>
      </c>
      <c r="G20" s="97" t="s">
        <v>506</v>
      </c>
      <c r="H20" s="97" t="s">
        <v>507</v>
      </c>
      <c r="I20" s="1"/>
    </row>
    <row r="21" customFormat="false" ht="36" hidden="false" customHeight="true" outlineLevel="0" collapsed="false">
      <c r="A21" s="1"/>
      <c r="B21" s="133" t="s">
        <v>508</v>
      </c>
      <c r="C21" s="134" t="s">
        <v>496</v>
      </c>
      <c r="D21" s="134" t="n">
        <v>3</v>
      </c>
      <c r="E21" s="134" t="n">
        <v>4</v>
      </c>
      <c r="F21" s="153" t="n">
        <f aca="false">D21*E21</f>
        <v>12</v>
      </c>
      <c r="G21" s="134" t="s">
        <v>509</v>
      </c>
      <c r="H21" s="134" t="s">
        <v>510</v>
      </c>
      <c r="I21" s="1"/>
    </row>
    <row r="22" customFormat="false" ht="36" hidden="false" customHeight="true" outlineLevel="0" collapsed="false">
      <c r="A22" s="1"/>
      <c r="B22" s="96" t="s">
        <v>511</v>
      </c>
      <c r="C22" s="97" t="s">
        <v>496</v>
      </c>
      <c r="D22" s="97" t="n">
        <v>1</v>
      </c>
      <c r="E22" s="97" t="n">
        <v>5</v>
      </c>
      <c r="F22" s="153" t="n">
        <f aca="false">D22*E22</f>
        <v>5</v>
      </c>
      <c r="G22" s="97" t="s">
        <v>512</v>
      </c>
      <c r="H22" s="97" t="s">
        <v>513</v>
      </c>
      <c r="I22" s="1"/>
    </row>
    <row r="23" customFormat="false" ht="14.2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4.2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9.5" hidden="false" customHeight="true" outlineLevel="0" collapsed="false">
      <c r="A25" s="1"/>
      <c r="B25" s="155" t="s">
        <v>514</v>
      </c>
      <c r="C25" s="155"/>
      <c r="D25" s="155"/>
      <c r="E25" s="155"/>
      <c r="F25" s="155"/>
      <c r="G25" s="155"/>
      <c r="H25" s="155"/>
      <c r="I25" s="1"/>
    </row>
    <row r="26" customFormat="false" ht="28.5" hidden="false" customHeight="true" outlineLevel="0" collapsed="false">
      <c r="A26" s="1"/>
      <c r="B26" s="156" t="s">
        <v>471</v>
      </c>
      <c r="C26" s="148" t="s">
        <v>472</v>
      </c>
      <c r="D26" s="149" t="s">
        <v>473</v>
      </c>
      <c r="E26" s="149" t="s">
        <v>474</v>
      </c>
      <c r="F26" s="147" t="s">
        <v>475</v>
      </c>
      <c r="G26" s="150" t="s">
        <v>476</v>
      </c>
      <c r="H26" s="151" t="s">
        <v>477</v>
      </c>
      <c r="I26" s="1"/>
    </row>
    <row r="27" customFormat="false" ht="42" hidden="false" customHeight="true" outlineLevel="0" collapsed="false">
      <c r="A27" s="1"/>
      <c r="B27" s="133" t="s">
        <v>515</v>
      </c>
      <c r="C27" s="134" t="s">
        <v>516</v>
      </c>
      <c r="D27" s="134" t="n">
        <v>3</v>
      </c>
      <c r="E27" s="134" t="n">
        <v>5</v>
      </c>
      <c r="F27" s="153" t="n">
        <f aca="false">D27*E27</f>
        <v>15</v>
      </c>
      <c r="G27" s="134" t="s">
        <v>517</v>
      </c>
      <c r="H27" s="134" t="s">
        <v>518</v>
      </c>
      <c r="I27" s="1"/>
    </row>
    <row r="28" customFormat="false" ht="42" hidden="false" customHeight="true" outlineLevel="0" collapsed="false">
      <c r="A28" s="1"/>
      <c r="B28" s="96" t="s">
        <v>519</v>
      </c>
      <c r="C28" s="97" t="s">
        <v>520</v>
      </c>
      <c r="D28" s="97" t="n">
        <v>2</v>
      </c>
      <c r="E28" s="97" t="n">
        <v>5</v>
      </c>
      <c r="F28" s="153" t="n">
        <f aca="false">D28*E28</f>
        <v>10</v>
      </c>
      <c r="G28" s="97" t="s">
        <v>521</v>
      </c>
      <c r="H28" s="97" t="s">
        <v>522</v>
      </c>
      <c r="I28" s="1"/>
    </row>
    <row r="29" customFormat="false" ht="42" hidden="false" customHeight="true" outlineLevel="0" collapsed="false">
      <c r="A29" s="1"/>
      <c r="B29" s="133" t="s">
        <v>523</v>
      </c>
      <c r="C29" s="134" t="s">
        <v>520</v>
      </c>
      <c r="D29" s="134" t="n">
        <v>2</v>
      </c>
      <c r="E29" s="134" t="n">
        <v>5</v>
      </c>
      <c r="F29" s="153" t="n">
        <f aca="false">D29*E29</f>
        <v>10</v>
      </c>
      <c r="G29" s="134" t="s">
        <v>524</v>
      </c>
      <c r="H29" s="134" t="s">
        <v>525</v>
      </c>
      <c r="I29" s="1"/>
    </row>
    <row r="30" customFormat="false" ht="30" hidden="false" customHeight="true" outlineLevel="0" collapsed="false">
      <c r="A30" s="1"/>
      <c r="B30" s="96" t="s">
        <v>526</v>
      </c>
      <c r="C30" s="97" t="s">
        <v>516</v>
      </c>
      <c r="D30" s="97" t="n">
        <v>4</v>
      </c>
      <c r="E30" s="97" t="n">
        <v>3</v>
      </c>
      <c r="F30" s="153" t="n">
        <f aca="false">D30*E30</f>
        <v>12</v>
      </c>
      <c r="G30" s="97" t="s">
        <v>527</v>
      </c>
      <c r="H30" s="97" t="s">
        <v>528</v>
      </c>
      <c r="I30" s="1"/>
    </row>
    <row r="31" customFormat="false" ht="42" hidden="false" customHeight="true" outlineLevel="0" collapsed="false">
      <c r="A31" s="1"/>
      <c r="B31" s="133" t="s">
        <v>529</v>
      </c>
      <c r="C31" s="134" t="s">
        <v>520</v>
      </c>
      <c r="D31" s="134" t="n">
        <v>3</v>
      </c>
      <c r="E31" s="134" t="n">
        <v>3</v>
      </c>
      <c r="F31" s="153" t="n">
        <f aca="false">D31*E31</f>
        <v>9</v>
      </c>
      <c r="G31" s="134" t="s">
        <v>530</v>
      </c>
      <c r="H31" s="134" t="s">
        <v>531</v>
      </c>
      <c r="I31" s="1"/>
    </row>
    <row r="32" customFormat="false" ht="42" hidden="false" customHeight="true" outlineLevel="0" collapsed="false">
      <c r="A32" s="1"/>
      <c r="B32" s="96" t="s">
        <v>532</v>
      </c>
      <c r="C32" s="97" t="s">
        <v>520</v>
      </c>
      <c r="D32" s="97" t="n">
        <v>3</v>
      </c>
      <c r="E32" s="97" t="n">
        <v>3</v>
      </c>
      <c r="F32" s="153" t="n">
        <f aca="false">D32*E32</f>
        <v>9</v>
      </c>
      <c r="G32" s="97" t="s">
        <v>533</v>
      </c>
      <c r="H32" s="97" t="s">
        <v>534</v>
      </c>
      <c r="I32" s="1"/>
    </row>
    <row r="33" customFormat="false" ht="14.2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4.2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9.5" hidden="false" customHeight="true" outlineLevel="0" collapsed="false">
      <c r="A35" s="1"/>
      <c r="B35" s="157" t="s">
        <v>535</v>
      </c>
      <c r="C35" s="157"/>
      <c r="D35" s="104" t="s">
        <v>536</v>
      </c>
      <c r="E35" s="104"/>
      <c r="F35" s="158" t="s">
        <v>537</v>
      </c>
      <c r="G35" s="158"/>
      <c r="H35" s="102" t="s">
        <v>538</v>
      </c>
      <c r="I35" s="1"/>
    </row>
    <row r="36" customFormat="false" ht="14.2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4.2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4.2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4.2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4.2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4.2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4.2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4.2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4.2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4.2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4.2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4.2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4.2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4.2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4.2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4.2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4.2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4.2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4.2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4.2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4.2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4.2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4.2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4.2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4.2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4.2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4.2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4.2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4.2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4.2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4.2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4.2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4.2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4.2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4.2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4.2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4.2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4.2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4.2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4.2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4.2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4.2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4.2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4.2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4.2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4.2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4.2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4.2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4.2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4.2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4.2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4.2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4.2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4.2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</row>
  </sheetData>
  <mergeCells count="8">
    <mergeCell ref="B2:H2"/>
    <mergeCell ref="B3:H3"/>
    <mergeCell ref="B6:H6"/>
    <mergeCell ref="B15:H15"/>
    <mergeCell ref="B25:H25"/>
    <mergeCell ref="B35:C35"/>
    <mergeCell ref="D35:E35"/>
    <mergeCell ref="F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fals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G37" activeCellId="0" sqref="G37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1.33"/>
    <col collapsed="false" customWidth="true" hidden="false" outlineLevel="0" max="3" min="3" style="0" width="39.11"/>
    <col collapsed="false" customWidth="true" hidden="false" outlineLevel="0" max="4" min="4" style="0" width="22.88"/>
    <col collapsed="false" customWidth="true" hidden="false" outlineLevel="0" max="5" min="5" style="0" width="21.33"/>
    <col collapsed="false" customWidth="true" hidden="false" outlineLevel="0" max="6" min="6" style="0" width="20.44"/>
    <col collapsed="false" customWidth="true" hidden="false" outlineLevel="0" max="7" min="7" style="0" width="32"/>
    <col collapsed="false" customWidth="true" hidden="false" outlineLevel="0" max="8" min="8" style="0" width="16"/>
    <col collapsed="false" customWidth="true" hidden="false" outlineLevel="0" max="9" min="9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1"/>
      <c r="B2" s="159" t="s">
        <v>539</v>
      </c>
      <c r="C2" s="159"/>
      <c r="D2" s="159"/>
      <c r="E2" s="159"/>
      <c r="F2" s="159"/>
      <c r="G2" s="159"/>
      <c r="H2" s="159"/>
      <c r="I2" s="1"/>
    </row>
    <row r="3" customFormat="false" ht="18" hidden="false" customHeight="true" outlineLevel="0" collapsed="false">
      <c r="A3" s="1"/>
      <c r="B3" s="160" t="s">
        <v>540</v>
      </c>
      <c r="C3" s="160"/>
      <c r="D3" s="160"/>
      <c r="E3" s="160"/>
      <c r="F3" s="160"/>
      <c r="G3" s="160"/>
      <c r="H3" s="160"/>
      <c r="I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21.75" hidden="false" customHeight="true" outlineLevel="0" collapsed="false">
      <c r="A5" s="1"/>
      <c r="B5" s="93" t="s">
        <v>541</v>
      </c>
      <c r="C5" s="93"/>
      <c r="D5" s="93"/>
      <c r="E5" s="93"/>
      <c r="F5" s="93"/>
      <c r="G5" s="93"/>
      <c r="H5" s="93"/>
      <c r="I5" s="1"/>
    </row>
    <row r="6" customFormat="false" ht="36" hidden="false" customHeight="true" outlineLevel="0" collapsed="false">
      <c r="A6" s="1"/>
      <c r="B6" s="161" t="s">
        <v>542</v>
      </c>
      <c r="C6" s="161" t="s">
        <v>543</v>
      </c>
      <c r="D6" s="162" t="s">
        <v>544</v>
      </c>
      <c r="E6" s="32" t="s">
        <v>545</v>
      </c>
      <c r="F6" s="32" t="s">
        <v>546</v>
      </c>
      <c r="G6" s="38" t="s">
        <v>547</v>
      </c>
      <c r="H6" s="38"/>
      <c r="I6" s="1"/>
    </row>
    <row r="7" customFormat="false" ht="27.75" hidden="false" customHeight="true" outlineLevel="0" collapsed="false">
      <c r="A7" s="1"/>
      <c r="B7" s="117" t="s">
        <v>548</v>
      </c>
      <c r="C7" s="97" t="s">
        <v>549</v>
      </c>
      <c r="D7" s="53" t="s">
        <v>58</v>
      </c>
      <c r="E7" s="53" t="s">
        <v>550</v>
      </c>
      <c r="F7" s="53" t="s">
        <v>551</v>
      </c>
      <c r="G7" s="97" t="s">
        <v>552</v>
      </c>
      <c r="H7" s="97"/>
      <c r="I7" s="1"/>
    </row>
    <row r="8" customFormat="false" ht="27.75" hidden="false" customHeight="true" outlineLevel="0" collapsed="false">
      <c r="A8" s="1"/>
      <c r="B8" s="114" t="s">
        <v>553</v>
      </c>
      <c r="C8" s="115" t="s">
        <v>554</v>
      </c>
      <c r="D8" s="115" t="s">
        <v>555</v>
      </c>
      <c r="E8" s="115" t="s">
        <v>556</v>
      </c>
      <c r="F8" s="115" t="s">
        <v>557</v>
      </c>
      <c r="G8" s="115" t="s">
        <v>558</v>
      </c>
      <c r="H8" s="115"/>
      <c r="I8" s="1"/>
    </row>
    <row r="9" customFormat="false" ht="27.75" hidden="false" customHeight="true" outlineLevel="0" collapsed="false">
      <c r="A9" s="1"/>
      <c r="B9" s="117" t="s">
        <v>559</v>
      </c>
      <c r="C9" s="97" t="s">
        <v>560</v>
      </c>
      <c r="D9" s="53" t="s">
        <v>561</v>
      </c>
      <c r="E9" s="53" t="s">
        <v>562</v>
      </c>
      <c r="F9" s="53" t="s">
        <v>563</v>
      </c>
      <c r="G9" s="97" t="s">
        <v>564</v>
      </c>
      <c r="H9" s="97"/>
      <c r="I9" s="1"/>
    </row>
    <row r="10" customFormat="false" ht="27.75" hidden="false" customHeight="true" outlineLevel="0" collapsed="false">
      <c r="A10" s="1"/>
      <c r="B10" s="114" t="s">
        <v>565</v>
      </c>
      <c r="C10" s="115" t="s">
        <v>566</v>
      </c>
      <c r="D10" s="53" t="s">
        <v>567</v>
      </c>
      <c r="E10" s="53" t="s">
        <v>568</v>
      </c>
      <c r="F10" s="53" t="s">
        <v>569</v>
      </c>
      <c r="G10" s="115" t="s">
        <v>564</v>
      </c>
      <c r="H10" s="115"/>
      <c r="I10" s="1"/>
    </row>
    <row r="11" customFormat="false" ht="27.75" hidden="false" customHeight="true" outlineLevel="0" collapsed="false">
      <c r="A11" s="1"/>
      <c r="B11" s="117" t="s">
        <v>570</v>
      </c>
      <c r="C11" s="97" t="s">
        <v>571</v>
      </c>
      <c r="D11" s="53" t="s">
        <v>572</v>
      </c>
      <c r="E11" s="53" t="s">
        <v>573</v>
      </c>
      <c r="F11" s="53" t="s">
        <v>567</v>
      </c>
      <c r="G11" s="97" t="s">
        <v>564</v>
      </c>
      <c r="H11" s="97"/>
      <c r="I11" s="1"/>
    </row>
    <row r="12" customFormat="false" ht="27.75" hidden="false" customHeight="true" outlineLevel="0" collapsed="false">
      <c r="A12" s="1"/>
      <c r="B12" s="114" t="s">
        <v>574</v>
      </c>
      <c r="C12" s="115" t="s">
        <v>575</v>
      </c>
      <c r="D12" s="115" t="s">
        <v>31</v>
      </c>
      <c r="E12" s="115" t="s">
        <v>31</v>
      </c>
      <c r="F12" s="115" t="s">
        <v>576</v>
      </c>
      <c r="G12" s="115" t="s">
        <v>558</v>
      </c>
      <c r="H12" s="115"/>
      <c r="I12" s="1"/>
    </row>
    <row r="13" customFormat="false" ht="27.75" hidden="false" customHeight="true" outlineLevel="0" collapsed="false">
      <c r="A13" s="1"/>
      <c r="B13" s="117" t="s">
        <v>577</v>
      </c>
      <c r="C13" s="97" t="s">
        <v>578</v>
      </c>
      <c r="D13" s="97" t="s">
        <v>579</v>
      </c>
      <c r="E13" s="97" t="s">
        <v>580</v>
      </c>
      <c r="F13" s="97" t="s">
        <v>580</v>
      </c>
      <c r="G13" s="97" t="s">
        <v>581</v>
      </c>
      <c r="H13" s="97"/>
      <c r="I13" s="1"/>
    </row>
    <row r="14" customFormat="false" ht="27.75" hidden="false" customHeight="true" outlineLevel="0" collapsed="false">
      <c r="A14" s="1"/>
      <c r="B14" s="114" t="s">
        <v>582</v>
      </c>
      <c r="C14" s="115" t="s">
        <v>583</v>
      </c>
      <c r="D14" s="53" t="s">
        <v>584</v>
      </c>
      <c r="E14" s="53" t="s">
        <v>585</v>
      </c>
      <c r="F14" s="53" t="s">
        <v>586</v>
      </c>
      <c r="G14" s="115" t="s">
        <v>587</v>
      </c>
      <c r="H14" s="115"/>
      <c r="I14" s="1"/>
    </row>
    <row r="15" customFormat="false" ht="9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21.75" hidden="false" customHeight="true" outlineLevel="0" collapsed="false">
      <c r="A17" s="1"/>
      <c r="B17" s="52" t="s">
        <v>588</v>
      </c>
      <c r="C17" s="52"/>
      <c r="D17" s="52"/>
      <c r="E17" s="52"/>
      <c r="F17" s="52"/>
      <c r="G17" s="52"/>
      <c r="H17" s="52"/>
      <c r="I17" s="1"/>
    </row>
    <row r="18" customFormat="false" ht="36" hidden="false" customHeight="true" outlineLevel="0" collapsed="false">
      <c r="A18" s="1"/>
      <c r="B18" s="162" t="s">
        <v>542</v>
      </c>
      <c r="C18" s="161" t="s">
        <v>543</v>
      </c>
      <c r="D18" s="162" t="s">
        <v>544</v>
      </c>
      <c r="E18" s="32" t="s">
        <v>545</v>
      </c>
      <c r="F18" s="32" t="s">
        <v>546</v>
      </c>
      <c r="G18" s="38" t="s">
        <v>547</v>
      </c>
      <c r="H18" s="38"/>
      <c r="I18" s="1"/>
    </row>
    <row r="19" customFormat="false" ht="30" hidden="false" customHeight="true" outlineLevel="0" collapsed="false">
      <c r="A19" s="1"/>
      <c r="B19" s="163" t="s">
        <v>589</v>
      </c>
      <c r="C19" s="97" t="s">
        <v>590</v>
      </c>
      <c r="D19" s="97" t="s">
        <v>591</v>
      </c>
      <c r="E19" s="97" t="s">
        <v>591</v>
      </c>
      <c r="F19" s="97" t="s">
        <v>591</v>
      </c>
      <c r="G19" s="97" t="s">
        <v>592</v>
      </c>
      <c r="H19" s="97"/>
      <c r="I19" s="1"/>
    </row>
    <row r="20" customFormat="false" ht="27.75" hidden="false" customHeight="true" outlineLevel="0" collapsed="false">
      <c r="A20" s="1"/>
      <c r="B20" s="53" t="s">
        <v>593</v>
      </c>
      <c r="C20" s="115" t="s">
        <v>594</v>
      </c>
      <c r="D20" s="53" t="s">
        <v>595</v>
      </c>
      <c r="E20" s="53" t="s">
        <v>596</v>
      </c>
      <c r="F20" s="53" t="s">
        <v>597</v>
      </c>
      <c r="G20" s="115" t="s">
        <v>598</v>
      </c>
      <c r="H20" s="115"/>
      <c r="I20" s="1"/>
    </row>
    <row r="21" customFormat="false" ht="27.75" hidden="false" customHeight="true" outlineLevel="0" collapsed="false">
      <c r="A21" s="1"/>
      <c r="B21" s="163" t="s">
        <v>599</v>
      </c>
      <c r="C21" s="97" t="s">
        <v>600</v>
      </c>
      <c r="D21" s="53" t="s">
        <v>567</v>
      </c>
      <c r="E21" s="53" t="s">
        <v>568</v>
      </c>
      <c r="F21" s="53" t="s">
        <v>569</v>
      </c>
      <c r="G21" s="97" t="s">
        <v>601</v>
      </c>
      <c r="H21" s="97"/>
      <c r="I21" s="1"/>
    </row>
    <row r="22" customFormat="false" ht="27.75" hidden="false" customHeight="true" outlineLevel="0" collapsed="false">
      <c r="A22" s="1"/>
      <c r="B22" s="53" t="s">
        <v>602</v>
      </c>
      <c r="C22" s="115" t="s">
        <v>603</v>
      </c>
      <c r="D22" s="115" t="s">
        <v>591</v>
      </c>
      <c r="E22" s="115" t="s">
        <v>591</v>
      </c>
      <c r="F22" s="115" t="s">
        <v>591</v>
      </c>
      <c r="G22" s="115" t="s">
        <v>604</v>
      </c>
      <c r="H22" s="115"/>
      <c r="I22" s="1"/>
    </row>
    <row r="23" customFormat="false" ht="27.75" hidden="false" customHeight="true" outlineLevel="0" collapsed="false">
      <c r="A23" s="1"/>
      <c r="B23" s="163" t="s">
        <v>605</v>
      </c>
      <c r="C23" s="97" t="s">
        <v>606</v>
      </c>
      <c r="D23" s="97" t="s">
        <v>591</v>
      </c>
      <c r="E23" s="97" t="s">
        <v>591</v>
      </c>
      <c r="F23" s="97" t="s">
        <v>591</v>
      </c>
      <c r="G23" s="97" t="s">
        <v>607</v>
      </c>
      <c r="H23" s="97"/>
      <c r="I23" s="1"/>
    </row>
    <row r="24" customFormat="false" ht="30" hidden="false" customHeight="true" outlineLevel="0" collapsed="false">
      <c r="A24" s="1"/>
      <c r="B24" s="53" t="s">
        <v>608</v>
      </c>
      <c r="C24" s="115" t="s">
        <v>609</v>
      </c>
      <c r="D24" s="115" t="s">
        <v>591</v>
      </c>
      <c r="E24" s="115" t="s">
        <v>591</v>
      </c>
      <c r="F24" s="115" t="s">
        <v>591</v>
      </c>
      <c r="G24" s="115" t="s">
        <v>607</v>
      </c>
      <c r="H24" s="115"/>
      <c r="I24" s="1"/>
    </row>
    <row r="25" customFormat="false" ht="27.75" hidden="false" customHeight="true" outlineLevel="0" collapsed="false">
      <c r="A25" s="1"/>
      <c r="B25" s="163" t="s">
        <v>610</v>
      </c>
      <c r="C25" s="97" t="s">
        <v>611</v>
      </c>
      <c r="D25" s="53" t="s">
        <v>612</v>
      </c>
      <c r="E25" s="53" t="s">
        <v>613</v>
      </c>
      <c r="F25" s="53" t="s">
        <v>614</v>
      </c>
      <c r="G25" s="97" t="s">
        <v>615</v>
      </c>
      <c r="H25" s="97"/>
      <c r="I25" s="1"/>
    </row>
    <row r="26" customFormat="false" ht="27.75" hidden="false" customHeight="true" outlineLevel="0" collapsed="false">
      <c r="A26" s="1"/>
      <c r="B26" s="53" t="s">
        <v>616</v>
      </c>
      <c r="C26" s="115" t="s">
        <v>617</v>
      </c>
      <c r="D26" s="115" t="s">
        <v>572</v>
      </c>
      <c r="E26" s="115" t="s">
        <v>573</v>
      </c>
      <c r="F26" s="115" t="s">
        <v>567</v>
      </c>
      <c r="G26" s="115" t="s">
        <v>618</v>
      </c>
      <c r="H26" s="115"/>
      <c r="I26" s="1"/>
    </row>
    <row r="27" customFormat="false" ht="9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21.75" hidden="false" customHeight="true" outlineLevel="0" collapsed="false">
      <c r="A29" s="1"/>
      <c r="B29" s="98" t="s">
        <v>619</v>
      </c>
      <c r="C29" s="98"/>
      <c r="D29" s="98"/>
      <c r="E29" s="98"/>
      <c r="F29" s="98"/>
      <c r="G29" s="98"/>
      <c r="H29" s="98"/>
      <c r="I29" s="1"/>
    </row>
    <row r="30" customFormat="false" ht="36" hidden="false" customHeight="true" outlineLevel="0" collapsed="false">
      <c r="A30" s="1"/>
      <c r="B30" s="35" t="s">
        <v>542</v>
      </c>
      <c r="C30" s="161" t="s">
        <v>543</v>
      </c>
      <c r="D30" s="162" t="s">
        <v>544</v>
      </c>
      <c r="E30" s="32" t="s">
        <v>545</v>
      </c>
      <c r="F30" s="32" t="s">
        <v>546</v>
      </c>
      <c r="G30" s="38" t="s">
        <v>547</v>
      </c>
      <c r="H30" s="38"/>
      <c r="I30" s="1"/>
    </row>
    <row r="31" customFormat="false" ht="27.75" hidden="false" customHeight="true" outlineLevel="0" collapsed="false">
      <c r="A31" s="1"/>
      <c r="B31" s="164" t="s">
        <v>620</v>
      </c>
      <c r="C31" s="97" t="s">
        <v>621</v>
      </c>
      <c r="D31" s="53" t="s">
        <v>622</v>
      </c>
      <c r="E31" s="53" t="s">
        <v>623</v>
      </c>
      <c r="F31" s="53" t="s">
        <v>624</v>
      </c>
      <c r="G31" s="97" t="s">
        <v>625</v>
      </c>
      <c r="H31" s="97"/>
      <c r="I31" s="1"/>
    </row>
    <row r="32" customFormat="false" ht="30" hidden="false" customHeight="true" outlineLevel="0" collapsed="false">
      <c r="A32" s="1"/>
      <c r="B32" s="165" t="s">
        <v>626</v>
      </c>
      <c r="C32" s="115" t="s">
        <v>627</v>
      </c>
      <c r="D32" s="53" t="s">
        <v>628</v>
      </c>
      <c r="E32" s="53" t="s">
        <v>629</v>
      </c>
      <c r="F32" s="53" t="s">
        <v>629</v>
      </c>
      <c r="G32" s="115" t="s">
        <v>630</v>
      </c>
      <c r="H32" s="115"/>
      <c r="I32" s="1"/>
    </row>
    <row r="33" customFormat="false" ht="27.75" hidden="false" customHeight="true" outlineLevel="0" collapsed="false">
      <c r="A33" s="1"/>
      <c r="B33" s="164" t="s">
        <v>631</v>
      </c>
      <c r="C33" s="97" t="s">
        <v>632</v>
      </c>
      <c r="D33" s="53" t="s">
        <v>633</v>
      </c>
      <c r="E33" s="53" t="s">
        <v>634</v>
      </c>
      <c r="F33" s="53" t="s">
        <v>634</v>
      </c>
      <c r="G33" s="97" t="s">
        <v>635</v>
      </c>
      <c r="H33" s="97"/>
      <c r="I33" s="1"/>
    </row>
    <row r="34" customFormat="false" ht="27.75" hidden="false" customHeight="true" outlineLevel="0" collapsed="false">
      <c r="A34" s="1"/>
      <c r="B34" s="165" t="s">
        <v>636</v>
      </c>
      <c r="C34" s="115" t="s">
        <v>637</v>
      </c>
      <c r="D34" s="53" t="s">
        <v>638</v>
      </c>
      <c r="E34" s="53" t="s">
        <v>639</v>
      </c>
      <c r="F34" s="53" t="s">
        <v>639</v>
      </c>
      <c r="G34" s="115" t="s">
        <v>640</v>
      </c>
      <c r="H34" s="115"/>
      <c r="I34" s="1"/>
    </row>
    <row r="35" customFormat="false" ht="27.75" hidden="false" customHeight="true" outlineLevel="0" collapsed="false">
      <c r="A35" s="1"/>
      <c r="B35" s="164" t="s">
        <v>641</v>
      </c>
      <c r="C35" s="97" t="s">
        <v>642</v>
      </c>
      <c r="D35" s="53" t="s">
        <v>643</v>
      </c>
      <c r="E35" s="53" t="s">
        <v>644</v>
      </c>
      <c r="F35" s="53" t="s">
        <v>645</v>
      </c>
      <c r="G35" s="97" t="s">
        <v>646</v>
      </c>
      <c r="H35" s="97"/>
      <c r="I35" s="1"/>
    </row>
    <row r="36" customFormat="false" ht="27.75" hidden="false" customHeight="true" outlineLevel="0" collapsed="false">
      <c r="A36" s="1"/>
      <c r="B36" s="165" t="s">
        <v>647</v>
      </c>
      <c r="C36" s="115" t="s">
        <v>648</v>
      </c>
      <c r="D36" s="53" t="s">
        <v>643</v>
      </c>
      <c r="E36" s="53" t="s">
        <v>643</v>
      </c>
      <c r="F36" s="53" t="s">
        <v>649</v>
      </c>
      <c r="G36" s="115" t="s">
        <v>650</v>
      </c>
      <c r="H36" s="115"/>
      <c r="I36" s="1"/>
    </row>
    <row r="37" customFormat="false" ht="27.75" hidden="false" customHeight="true" outlineLevel="0" collapsed="false">
      <c r="A37" s="1"/>
      <c r="B37" s="164" t="s">
        <v>651</v>
      </c>
      <c r="C37" s="97" t="s">
        <v>652</v>
      </c>
      <c r="D37" s="53" t="s">
        <v>643</v>
      </c>
      <c r="E37" s="53" t="s">
        <v>643</v>
      </c>
      <c r="F37" s="53" t="s">
        <v>653</v>
      </c>
      <c r="G37" s="97" t="s">
        <v>650</v>
      </c>
      <c r="H37" s="97"/>
      <c r="I37" s="1"/>
    </row>
    <row r="38" customFormat="false" ht="27.75" hidden="false" customHeight="true" outlineLevel="0" collapsed="false">
      <c r="A38" s="1"/>
      <c r="B38" s="165" t="s">
        <v>654</v>
      </c>
      <c r="C38" s="115" t="s">
        <v>655</v>
      </c>
      <c r="D38" s="53" t="s">
        <v>656</v>
      </c>
      <c r="E38" s="53" t="s">
        <v>656</v>
      </c>
      <c r="F38" s="53" t="s">
        <v>657</v>
      </c>
      <c r="G38" s="115" t="s">
        <v>658</v>
      </c>
      <c r="H38" s="115"/>
      <c r="I38" s="1"/>
    </row>
    <row r="39" customFormat="false" ht="9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</row>
  </sheetData>
  <mergeCells count="32">
    <mergeCell ref="B2:H2"/>
    <mergeCell ref="B3:H3"/>
    <mergeCell ref="B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B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B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E18" activeCellId="0" sqref="E18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32.56"/>
    <col collapsed="false" customWidth="true" hidden="false" outlineLevel="0" max="4" min="4" style="0" width="20"/>
    <col collapsed="false" customWidth="true" hidden="false" outlineLevel="0" max="5" min="5" style="0" width="28.11"/>
    <col collapsed="false" customWidth="true" hidden="false" outlineLevel="0" max="6" min="6" style="0" width="20"/>
    <col collapsed="false" customWidth="true" hidden="false" outlineLevel="0" max="7" min="7" style="0" width="52.78"/>
    <col collapsed="false" customWidth="true" hidden="false" outlineLevel="0" max="8" min="8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"/>
      <c r="B2" s="159" t="s">
        <v>659</v>
      </c>
      <c r="C2" s="159"/>
      <c r="D2" s="159"/>
      <c r="E2" s="159"/>
      <c r="F2" s="159"/>
      <c r="G2" s="159"/>
      <c r="H2" s="1"/>
    </row>
    <row r="3" customFormat="false" ht="18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1"/>
      <c r="B4" s="166" t="s">
        <v>660</v>
      </c>
      <c r="C4" s="166"/>
      <c r="D4" s="166"/>
      <c r="E4" s="166"/>
      <c r="F4" s="166"/>
      <c r="G4" s="166"/>
      <c r="H4" s="1"/>
    </row>
    <row r="5" customFormat="false" ht="19.5" hidden="false" customHeight="true" outlineLevel="0" collapsed="false">
      <c r="A5" s="1"/>
      <c r="B5" s="167" t="s">
        <v>661</v>
      </c>
      <c r="C5" s="167"/>
      <c r="D5" s="168" t="s">
        <v>662</v>
      </c>
      <c r="E5" s="168"/>
      <c r="F5" s="169" t="s">
        <v>663</v>
      </c>
      <c r="G5" s="169"/>
      <c r="H5" s="1"/>
    </row>
    <row r="6" customFormat="false" ht="21" hidden="false" customHeight="true" outlineLevel="0" collapsed="false">
      <c r="A6" s="1"/>
      <c r="B6" s="33" t="s">
        <v>664</v>
      </c>
      <c r="C6" s="33"/>
      <c r="D6" s="18" t="s">
        <v>665</v>
      </c>
      <c r="E6" s="18"/>
      <c r="F6" s="18" t="s">
        <v>666</v>
      </c>
      <c r="G6" s="18"/>
      <c r="H6" s="1"/>
    </row>
    <row r="7" customFormat="false" ht="18" hidden="false" customHeight="true" outlineLevel="0" collapsed="false">
      <c r="A7" s="1"/>
      <c r="B7" s="33"/>
      <c r="C7" s="33"/>
      <c r="D7" s="18"/>
      <c r="E7" s="18"/>
      <c r="F7" s="18"/>
      <c r="G7" s="18"/>
      <c r="H7" s="1"/>
    </row>
    <row r="8" customFormat="false" ht="18" hidden="false" customHeight="true" outlineLevel="0" collapsed="false">
      <c r="A8" s="1"/>
      <c r="B8" s="33"/>
      <c r="C8" s="33"/>
      <c r="D8" s="18"/>
      <c r="E8" s="18"/>
      <c r="F8" s="18"/>
      <c r="G8" s="18"/>
      <c r="H8" s="1"/>
    </row>
    <row r="9" customFormat="false" ht="18" hidden="false" customHeight="true" outlineLevel="0" collapsed="false">
      <c r="A9" s="1"/>
      <c r="B9" s="33"/>
      <c r="C9" s="33"/>
      <c r="D9" s="18"/>
      <c r="E9" s="18"/>
      <c r="F9" s="18"/>
      <c r="G9" s="18"/>
      <c r="H9" s="1"/>
    </row>
    <row r="10" customFormat="false" ht="18" hidden="false" customHeight="tru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19.5" hidden="false" customHeight="true" outlineLevel="0" collapsed="false">
      <c r="A11" s="1"/>
      <c r="B11" s="170" t="s">
        <v>667</v>
      </c>
      <c r="C11" s="170"/>
      <c r="D11" s="171" t="s">
        <v>668</v>
      </c>
      <c r="E11" s="171"/>
      <c r="F11" s="172" t="s">
        <v>669</v>
      </c>
      <c r="G11" s="172"/>
      <c r="H11" s="1"/>
    </row>
    <row r="12" customFormat="false" ht="18" hidden="false" customHeight="true" outlineLevel="0" collapsed="false">
      <c r="A12" s="1"/>
      <c r="B12" s="18" t="s">
        <v>670</v>
      </c>
      <c r="C12" s="18"/>
      <c r="D12" s="18" t="s">
        <v>671</v>
      </c>
      <c r="E12" s="18"/>
      <c r="F12" s="18" t="s">
        <v>672</v>
      </c>
      <c r="G12" s="18"/>
      <c r="H12" s="1"/>
    </row>
    <row r="13" customFormat="false" ht="18" hidden="false" customHeight="true" outlineLevel="0" collapsed="false">
      <c r="A13" s="1"/>
      <c r="B13" s="18"/>
      <c r="C13" s="18"/>
      <c r="D13" s="18"/>
      <c r="E13" s="18"/>
      <c r="F13" s="18"/>
      <c r="G13" s="18"/>
      <c r="H13" s="1"/>
    </row>
    <row r="14" customFormat="false" ht="18" hidden="false" customHeight="true" outlineLevel="0" collapsed="false">
      <c r="A14" s="1"/>
      <c r="B14" s="18"/>
      <c r="C14" s="18"/>
      <c r="D14" s="18"/>
      <c r="E14" s="18"/>
      <c r="F14" s="18"/>
      <c r="G14" s="18"/>
      <c r="H14" s="1"/>
    </row>
    <row r="15" customFormat="false" ht="18" hidden="false" customHeight="true" outlineLevel="0" collapsed="false">
      <c r="A15" s="1"/>
      <c r="B15" s="18"/>
      <c r="C15" s="18"/>
      <c r="D15" s="18"/>
      <c r="E15" s="18"/>
      <c r="F15" s="18"/>
      <c r="G15" s="18"/>
      <c r="H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9.5" hidden="false" customHeight="true" outlineLevel="0" collapsed="false">
      <c r="A17" s="1"/>
      <c r="B17" s="173" t="s">
        <v>673</v>
      </c>
      <c r="C17" s="173"/>
      <c r="D17" s="173"/>
      <c r="E17" s="167" t="s">
        <v>674</v>
      </c>
      <c r="F17" s="167"/>
      <c r="G17" s="167"/>
      <c r="H17" s="1"/>
    </row>
    <row r="18" customFormat="false" ht="18" hidden="false" customHeight="true" outlineLevel="0" collapsed="false">
      <c r="A18" s="1"/>
      <c r="B18" s="18" t="s">
        <v>675</v>
      </c>
      <c r="C18" s="18"/>
      <c r="D18" s="18"/>
      <c r="E18" s="33" t="s">
        <v>676</v>
      </c>
      <c r="F18" s="33"/>
      <c r="G18" s="33"/>
      <c r="H18" s="1"/>
    </row>
    <row r="19" customFormat="false" ht="18" hidden="false" customHeight="true" outlineLevel="0" collapsed="false">
      <c r="A19" s="1"/>
      <c r="B19" s="18"/>
      <c r="C19" s="18"/>
      <c r="D19" s="18"/>
      <c r="E19" s="33"/>
      <c r="F19" s="33"/>
      <c r="G19" s="33"/>
      <c r="H19" s="1"/>
    </row>
    <row r="20" customFormat="false" ht="18" hidden="false" customHeight="true" outlineLevel="0" collapsed="false">
      <c r="A20" s="1"/>
      <c r="B20" s="18"/>
      <c r="C20" s="18"/>
      <c r="D20" s="18"/>
      <c r="E20" s="33"/>
      <c r="F20" s="33"/>
      <c r="G20" s="33"/>
      <c r="H20" s="1"/>
    </row>
    <row r="21" customFormat="false" ht="18" hidden="false" customHeight="true" outlineLevel="0" collapsed="false">
      <c r="A21" s="1"/>
      <c r="B21" s="18"/>
      <c r="C21" s="18"/>
      <c r="D21" s="18"/>
      <c r="E21" s="33"/>
      <c r="F21" s="33"/>
      <c r="G21" s="33"/>
      <c r="H21" s="1"/>
    </row>
    <row r="22" customFormat="false" ht="21.75" hidden="false" customHeight="true" outlineLevel="0" collapsed="false">
      <c r="A22" s="1"/>
      <c r="B22" s="174" t="s">
        <v>677</v>
      </c>
      <c r="C22" s="174"/>
      <c r="D22" s="174"/>
      <c r="E22" s="174"/>
      <c r="F22" s="174"/>
      <c r="G22" s="174"/>
      <c r="H22" s="1"/>
    </row>
    <row r="23" customFormat="false" ht="151.5" hidden="false" customHeight="true" outlineLevel="0" collapsed="false">
      <c r="A23" s="1"/>
      <c r="B23" s="16" t="s">
        <v>678</v>
      </c>
      <c r="C23" s="18" t="s">
        <v>679</v>
      </c>
      <c r="D23" s="18"/>
      <c r="E23" s="18"/>
      <c r="F23" s="18"/>
      <c r="G23" s="18"/>
      <c r="H23" s="175" t="s">
        <v>680</v>
      </c>
    </row>
    <row r="24" customFormat="false" ht="54" hidden="false" customHeight="true" outlineLevel="0" collapsed="false">
      <c r="A24" s="1"/>
      <c r="B24" s="19" t="s">
        <v>681</v>
      </c>
      <c r="C24" s="176" t="s">
        <v>682</v>
      </c>
      <c r="D24" s="176"/>
      <c r="E24" s="176"/>
      <c r="F24" s="176"/>
      <c r="G24" s="176"/>
      <c r="H24" s="175" t="s">
        <v>683</v>
      </c>
    </row>
    <row r="25" customFormat="false" ht="54" hidden="false" customHeight="true" outlineLevel="0" collapsed="false">
      <c r="A25" s="1"/>
      <c r="B25" s="21" t="s">
        <v>684</v>
      </c>
      <c r="C25" s="18" t="s">
        <v>685</v>
      </c>
      <c r="D25" s="18"/>
      <c r="E25" s="18"/>
      <c r="F25" s="18"/>
      <c r="G25" s="18"/>
      <c r="H25" s="175" t="s">
        <v>683</v>
      </c>
    </row>
    <row r="26" customFormat="false" ht="54" hidden="false" customHeight="true" outlineLevel="0" collapsed="false">
      <c r="A26" s="1"/>
      <c r="B26" s="23" t="s">
        <v>686</v>
      </c>
      <c r="C26" s="176" t="s">
        <v>687</v>
      </c>
      <c r="D26" s="176"/>
      <c r="E26" s="176"/>
      <c r="F26" s="176"/>
      <c r="G26" s="176"/>
      <c r="H26" s="175" t="s">
        <v>683</v>
      </c>
    </row>
    <row r="27" customFormat="false" ht="54" hidden="false" customHeight="true" outlineLevel="0" collapsed="false">
      <c r="A27" s="1"/>
      <c r="B27" s="25" t="s">
        <v>688</v>
      </c>
      <c r="C27" s="18" t="s">
        <v>689</v>
      </c>
      <c r="D27" s="18"/>
      <c r="E27" s="18"/>
      <c r="F27" s="18"/>
      <c r="G27" s="18"/>
      <c r="H27" s="175" t="s">
        <v>683</v>
      </c>
    </row>
    <row r="28" customFormat="false" ht="261" hidden="false" customHeight="true" outlineLevel="0" collapsed="false">
      <c r="A28" s="1"/>
      <c r="B28" s="27" t="s">
        <v>690</v>
      </c>
      <c r="C28" s="176" t="s">
        <v>691</v>
      </c>
      <c r="D28" s="176"/>
      <c r="E28" s="176"/>
      <c r="F28" s="176"/>
      <c r="G28" s="176"/>
      <c r="H28" s="175" t="s">
        <v>692</v>
      </c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</row>
  </sheetData>
  <mergeCells count="25">
    <mergeCell ref="B2:G2"/>
    <mergeCell ref="B4:G4"/>
    <mergeCell ref="B5:C5"/>
    <mergeCell ref="D5:E5"/>
    <mergeCell ref="F5:G5"/>
    <mergeCell ref="B6:C9"/>
    <mergeCell ref="D6:E9"/>
    <mergeCell ref="F6:G9"/>
    <mergeCell ref="B11:C11"/>
    <mergeCell ref="D11:E11"/>
    <mergeCell ref="F11:G11"/>
    <mergeCell ref="B12:C15"/>
    <mergeCell ref="D12:E15"/>
    <mergeCell ref="F12:G15"/>
    <mergeCell ref="B17:D17"/>
    <mergeCell ref="E17:G17"/>
    <mergeCell ref="B18:D21"/>
    <mergeCell ref="E18:G21"/>
    <mergeCell ref="B22:G22"/>
    <mergeCell ref="C23:G23"/>
    <mergeCell ref="C24:G24"/>
    <mergeCell ref="C25:G25"/>
    <mergeCell ref="C26:G26"/>
    <mergeCell ref="C27:G27"/>
    <mergeCell ref="C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false" showRowColHeaders="true" showZeros="true" rightToLeft="false" tabSelected="false" showOutlineSymbols="true" defaultGridColor="true" view="normal" topLeftCell="C24" colorId="64" zoomScale="100" zoomScaleNormal="100" zoomScalePageLayoutView="100" workbookViewId="0">
      <selection pane="topLeft" activeCell="C15" activeCellId="0" sqref="C1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.11"/>
    <col collapsed="false" customWidth="true" hidden="false" outlineLevel="0" max="3" min="3" style="0" width="31.33"/>
    <col collapsed="false" customWidth="true" hidden="false" outlineLevel="0" max="5" min="4" style="0" width="42.22"/>
    <col collapsed="false" customWidth="true" hidden="false" outlineLevel="0" max="6" min="6" style="0" width="12"/>
    <col collapsed="false" customWidth="true" hidden="false" outlineLevel="0" max="7" min="7" style="0" width="34.21"/>
    <col collapsed="false" customWidth="true" hidden="false" outlineLevel="0" max="8" min="8" style="0" width="50.11"/>
    <col collapsed="false" customWidth="true" hidden="false" outlineLevel="0" max="9" min="9" style="0" width="2"/>
  </cols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"/>
      <c r="B2" s="105" t="s">
        <v>693</v>
      </c>
      <c r="C2" s="105"/>
      <c r="D2" s="105"/>
      <c r="E2" s="105"/>
      <c r="F2" s="105"/>
      <c r="G2" s="105"/>
      <c r="H2" s="105"/>
      <c r="I2" s="1"/>
    </row>
    <row r="3" customFormat="false" ht="14.25" hidden="false" customHeight="false" outlineLevel="0" collapsed="false">
      <c r="A3" s="1"/>
      <c r="B3" s="106" t="s">
        <v>694</v>
      </c>
      <c r="C3" s="106"/>
      <c r="D3" s="106"/>
      <c r="E3" s="106"/>
      <c r="F3" s="106"/>
      <c r="G3" s="106"/>
      <c r="H3" s="106"/>
      <c r="I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9.5" hidden="false" customHeight="true" outlineLevel="0" collapsed="false">
      <c r="A5" s="1"/>
      <c r="B5" s="52" t="s">
        <v>695</v>
      </c>
      <c r="C5" s="52"/>
      <c r="D5" s="52"/>
      <c r="E5" s="52"/>
      <c r="F5" s="52"/>
      <c r="G5" s="52"/>
      <c r="H5" s="52"/>
      <c r="I5" s="1"/>
    </row>
    <row r="6" customFormat="false" ht="30" hidden="false" customHeight="true" outlineLevel="0" collapsed="false">
      <c r="A6" s="1"/>
      <c r="B6" s="162" t="s">
        <v>696</v>
      </c>
      <c r="C6" s="161" t="s">
        <v>697</v>
      </c>
      <c r="D6" s="162" t="s">
        <v>698</v>
      </c>
      <c r="E6" s="37" t="s">
        <v>699</v>
      </c>
      <c r="F6" s="38" t="s">
        <v>700</v>
      </c>
      <c r="G6" s="38" t="s">
        <v>304</v>
      </c>
      <c r="H6" s="38" t="s">
        <v>701</v>
      </c>
      <c r="I6" s="1"/>
    </row>
    <row r="7" customFormat="false" ht="42" hidden="false" customHeight="true" outlineLevel="0" collapsed="false">
      <c r="A7" s="1"/>
      <c r="B7" s="163" t="s">
        <v>702</v>
      </c>
      <c r="C7" s="97" t="s">
        <v>703</v>
      </c>
      <c r="D7" s="97" t="s">
        <v>704</v>
      </c>
      <c r="E7" s="97" t="s">
        <v>705</v>
      </c>
      <c r="F7" s="18" t="n">
        <v>2</v>
      </c>
      <c r="G7" s="97" t="s">
        <v>706</v>
      </c>
      <c r="H7" s="97" t="s">
        <v>707</v>
      </c>
      <c r="I7" s="1"/>
    </row>
    <row r="8" customFormat="false" ht="54" hidden="false" customHeight="true" outlineLevel="0" collapsed="false">
      <c r="A8" s="1"/>
      <c r="B8" s="53" t="s">
        <v>708</v>
      </c>
      <c r="C8" s="115" t="s">
        <v>709</v>
      </c>
      <c r="D8" s="115" t="s">
        <v>710</v>
      </c>
      <c r="E8" s="115" t="s">
        <v>711</v>
      </c>
      <c r="F8" s="33" t="n">
        <v>2</v>
      </c>
      <c r="G8" s="115" t="s">
        <v>706</v>
      </c>
      <c r="H8" s="115" t="s">
        <v>707</v>
      </c>
      <c r="I8" s="1"/>
    </row>
    <row r="9" customFormat="false" ht="54" hidden="false" customHeight="true" outlineLevel="0" collapsed="false">
      <c r="A9" s="1"/>
      <c r="B9" s="163" t="s">
        <v>712</v>
      </c>
      <c r="C9" s="97" t="s">
        <v>713</v>
      </c>
      <c r="D9" s="97" t="s">
        <v>714</v>
      </c>
      <c r="E9" s="97" t="s">
        <v>715</v>
      </c>
      <c r="F9" s="18" t="n">
        <v>3</v>
      </c>
      <c r="G9" s="97" t="s">
        <v>706</v>
      </c>
      <c r="H9" s="97" t="s">
        <v>707</v>
      </c>
      <c r="I9" s="1"/>
    </row>
    <row r="10" customFormat="false" ht="54" hidden="false" customHeight="true" outlineLevel="0" collapsed="false">
      <c r="A10" s="1"/>
      <c r="B10" s="53" t="s">
        <v>716</v>
      </c>
      <c r="C10" s="115" t="s">
        <v>717</v>
      </c>
      <c r="D10" s="115" t="s">
        <v>718</v>
      </c>
      <c r="E10" s="115" t="s">
        <v>719</v>
      </c>
      <c r="F10" s="33" t="n">
        <v>3</v>
      </c>
      <c r="G10" s="115" t="s">
        <v>706</v>
      </c>
      <c r="H10" s="115" t="s">
        <v>720</v>
      </c>
      <c r="I10" s="1"/>
    </row>
    <row r="11" customFormat="false" ht="14.2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14.2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9.5" hidden="false" customHeight="true" outlineLevel="0" collapsed="false">
      <c r="A13" s="1"/>
      <c r="B13" s="155" t="s">
        <v>721</v>
      </c>
      <c r="C13" s="155"/>
      <c r="D13" s="155"/>
      <c r="E13" s="155"/>
      <c r="F13" s="155"/>
      <c r="G13" s="155"/>
      <c r="H13" s="155"/>
      <c r="I13" s="1"/>
    </row>
    <row r="14" customFormat="false" ht="30" hidden="false" customHeight="true" outlineLevel="0" collapsed="false">
      <c r="A14" s="1"/>
      <c r="B14" s="32" t="s">
        <v>696</v>
      </c>
      <c r="C14" s="161" t="s">
        <v>697</v>
      </c>
      <c r="D14" s="162" t="s">
        <v>698</v>
      </c>
      <c r="E14" s="37" t="s">
        <v>699</v>
      </c>
      <c r="F14" s="38" t="s">
        <v>700</v>
      </c>
      <c r="G14" s="38" t="s">
        <v>304</v>
      </c>
      <c r="H14" s="38" t="s">
        <v>701</v>
      </c>
      <c r="I14" s="1"/>
    </row>
    <row r="15" customFormat="false" ht="66.75" hidden="false" customHeight="true" outlineLevel="0" collapsed="false">
      <c r="A15" s="1"/>
      <c r="B15" s="177" t="s">
        <v>722</v>
      </c>
      <c r="C15" s="97" t="s">
        <v>723</v>
      </c>
      <c r="D15" s="97" t="s">
        <v>308</v>
      </c>
      <c r="E15" s="97" t="s">
        <v>724</v>
      </c>
      <c r="F15" s="18" t="n">
        <v>3</v>
      </c>
      <c r="G15" s="97" t="s">
        <v>706</v>
      </c>
      <c r="H15" s="97" t="s">
        <v>707</v>
      </c>
      <c r="I15" s="1"/>
    </row>
    <row r="16" customFormat="false" ht="42" hidden="false" customHeight="true" outlineLevel="0" collapsed="false">
      <c r="A16" s="1"/>
      <c r="B16" s="116" t="s">
        <v>725</v>
      </c>
      <c r="C16" s="115" t="s">
        <v>726</v>
      </c>
      <c r="D16" s="115" t="s">
        <v>727</v>
      </c>
      <c r="E16" s="115" t="s">
        <v>728</v>
      </c>
      <c r="F16" s="33" t="n">
        <v>3</v>
      </c>
      <c r="G16" s="115" t="s">
        <v>706</v>
      </c>
      <c r="H16" s="115" t="s">
        <v>707</v>
      </c>
      <c r="I16" s="1"/>
    </row>
    <row r="17" customFormat="false" ht="54" hidden="false" customHeight="true" outlineLevel="0" collapsed="false">
      <c r="A17" s="1"/>
      <c r="B17" s="177" t="s">
        <v>729</v>
      </c>
      <c r="C17" s="97" t="s">
        <v>730</v>
      </c>
      <c r="D17" s="97" t="s">
        <v>731</v>
      </c>
      <c r="E17" s="97" t="s">
        <v>732</v>
      </c>
      <c r="F17" s="18" t="n">
        <v>2</v>
      </c>
      <c r="G17" s="97" t="s">
        <v>706</v>
      </c>
      <c r="H17" s="97" t="s">
        <v>707</v>
      </c>
      <c r="I17" s="1"/>
    </row>
    <row r="18" customFormat="false" ht="54" hidden="false" customHeight="true" outlineLevel="0" collapsed="false">
      <c r="A18" s="1"/>
      <c r="B18" s="116" t="s">
        <v>733</v>
      </c>
      <c r="C18" s="115" t="s">
        <v>734</v>
      </c>
      <c r="D18" s="115" t="s">
        <v>735</v>
      </c>
      <c r="E18" s="115" t="s">
        <v>736</v>
      </c>
      <c r="F18" s="33" t="n">
        <v>8</v>
      </c>
      <c r="G18" s="115" t="s">
        <v>706</v>
      </c>
      <c r="H18" s="115" t="s">
        <v>707</v>
      </c>
      <c r="I18" s="1"/>
    </row>
    <row r="19" customFormat="false" ht="14.2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4.2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9.5" hidden="false" customHeight="true" outlineLevel="0" collapsed="false">
      <c r="A21" s="1"/>
      <c r="B21" s="178" t="s">
        <v>737</v>
      </c>
      <c r="C21" s="178"/>
      <c r="D21" s="178"/>
      <c r="E21" s="178"/>
      <c r="F21" s="178"/>
      <c r="G21" s="178"/>
      <c r="H21" s="178"/>
      <c r="I21" s="1"/>
    </row>
    <row r="22" customFormat="false" ht="30" hidden="false" customHeight="true" outlineLevel="0" collapsed="false">
      <c r="A22" s="1"/>
      <c r="B22" s="34" t="s">
        <v>696</v>
      </c>
      <c r="C22" s="161" t="s">
        <v>697</v>
      </c>
      <c r="D22" s="162" t="s">
        <v>698</v>
      </c>
      <c r="E22" s="37" t="s">
        <v>699</v>
      </c>
      <c r="F22" s="38" t="s">
        <v>700</v>
      </c>
      <c r="G22" s="38" t="s">
        <v>304</v>
      </c>
      <c r="H22" s="38" t="s">
        <v>701</v>
      </c>
      <c r="I22" s="1"/>
    </row>
    <row r="23" customFormat="false" ht="54" hidden="false" customHeight="true" outlineLevel="0" collapsed="false">
      <c r="A23" s="1"/>
      <c r="B23" s="179" t="s">
        <v>738</v>
      </c>
      <c r="C23" s="97" t="s">
        <v>739</v>
      </c>
      <c r="D23" s="97" t="s">
        <v>329</v>
      </c>
      <c r="E23" s="97" t="s">
        <v>740</v>
      </c>
      <c r="F23" s="18" t="n">
        <v>5</v>
      </c>
      <c r="G23" s="97" t="s">
        <v>741</v>
      </c>
      <c r="H23" s="97" t="s">
        <v>707</v>
      </c>
      <c r="I23" s="1"/>
    </row>
    <row r="24" customFormat="false" ht="54" hidden="false" customHeight="true" outlineLevel="0" collapsed="false">
      <c r="A24" s="1"/>
      <c r="B24" s="180" t="s">
        <v>742</v>
      </c>
      <c r="C24" s="115" t="s">
        <v>743</v>
      </c>
      <c r="D24" s="115" t="s">
        <v>744</v>
      </c>
      <c r="E24" s="115" t="s">
        <v>745</v>
      </c>
      <c r="F24" s="33" t="n">
        <v>3</v>
      </c>
      <c r="G24" s="115" t="s">
        <v>741</v>
      </c>
      <c r="H24" s="115" t="s">
        <v>707</v>
      </c>
      <c r="I24" s="1"/>
    </row>
    <row r="25" customFormat="false" ht="42" hidden="false" customHeight="true" outlineLevel="0" collapsed="false">
      <c r="A25" s="1"/>
      <c r="B25" s="179" t="s">
        <v>746</v>
      </c>
      <c r="C25" s="97" t="s">
        <v>747</v>
      </c>
      <c r="D25" s="97" t="s">
        <v>748</v>
      </c>
      <c r="E25" s="97" t="s">
        <v>749</v>
      </c>
      <c r="F25" s="18" t="n">
        <v>5</v>
      </c>
      <c r="G25" s="97" t="s">
        <v>741</v>
      </c>
      <c r="H25" s="97" t="s">
        <v>707</v>
      </c>
      <c r="I25" s="1"/>
    </row>
    <row r="26" customFormat="false" ht="42" hidden="false" customHeight="true" outlineLevel="0" collapsed="false">
      <c r="A26" s="1"/>
      <c r="B26" s="180" t="s">
        <v>750</v>
      </c>
      <c r="C26" s="115" t="s">
        <v>751</v>
      </c>
      <c r="D26" s="115" t="s">
        <v>752</v>
      </c>
      <c r="E26" s="115" t="s">
        <v>753</v>
      </c>
      <c r="F26" s="33" t="n">
        <v>2</v>
      </c>
      <c r="G26" s="115" t="s">
        <v>741</v>
      </c>
      <c r="H26" s="115" t="s">
        <v>707</v>
      </c>
      <c r="I26" s="1"/>
    </row>
    <row r="27" customFormat="false" ht="14.2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4.2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9.5" hidden="false" customHeight="true" outlineLevel="0" collapsed="false">
      <c r="A29" s="1"/>
      <c r="B29" s="98" t="s">
        <v>754</v>
      </c>
      <c r="C29" s="98"/>
      <c r="D29" s="98"/>
      <c r="E29" s="98"/>
      <c r="F29" s="98"/>
      <c r="G29" s="98"/>
      <c r="H29" s="98"/>
      <c r="I29" s="1"/>
    </row>
    <row r="30" customFormat="false" ht="30" hidden="false" customHeight="true" outlineLevel="0" collapsed="false">
      <c r="A30" s="1"/>
      <c r="B30" s="35" t="s">
        <v>696</v>
      </c>
      <c r="C30" s="161" t="s">
        <v>697</v>
      </c>
      <c r="D30" s="162" t="s">
        <v>698</v>
      </c>
      <c r="E30" s="37" t="s">
        <v>699</v>
      </c>
      <c r="F30" s="38" t="s">
        <v>700</v>
      </c>
      <c r="G30" s="38" t="s">
        <v>304</v>
      </c>
      <c r="H30" s="38" t="s">
        <v>701</v>
      </c>
      <c r="I30" s="1"/>
    </row>
    <row r="31" customFormat="false" ht="54" hidden="false" customHeight="true" outlineLevel="0" collapsed="false">
      <c r="A31" s="1"/>
      <c r="B31" s="164" t="s">
        <v>755</v>
      </c>
      <c r="C31" s="97" t="s">
        <v>756</v>
      </c>
      <c r="D31" s="97" t="s">
        <v>341</v>
      </c>
      <c r="E31" s="97" t="s">
        <v>757</v>
      </c>
      <c r="F31" s="18" t="n">
        <v>5</v>
      </c>
      <c r="G31" s="97" t="s">
        <v>741</v>
      </c>
      <c r="H31" s="97" t="s">
        <v>707</v>
      </c>
      <c r="I31" s="1"/>
    </row>
    <row r="32" customFormat="false" ht="54" hidden="false" customHeight="true" outlineLevel="0" collapsed="false">
      <c r="A32" s="1"/>
      <c r="B32" s="165" t="s">
        <v>758</v>
      </c>
      <c r="C32" s="115" t="s">
        <v>759</v>
      </c>
      <c r="D32" s="115" t="s">
        <v>760</v>
      </c>
      <c r="E32" s="115" t="s">
        <v>761</v>
      </c>
      <c r="F32" s="33" t="n">
        <v>3</v>
      </c>
      <c r="G32" s="115" t="s">
        <v>741</v>
      </c>
      <c r="H32" s="115" t="s">
        <v>707</v>
      </c>
      <c r="I32" s="1"/>
    </row>
    <row r="33" customFormat="false" ht="54" hidden="false" customHeight="true" outlineLevel="0" collapsed="false">
      <c r="A33" s="1"/>
      <c r="B33" s="164" t="s">
        <v>762</v>
      </c>
      <c r="C33" s="97" t="s">
        <v>763</v>
      </c>
      <c r="D33" s="97" t="s">
        <v>361</v>
      </c>
      <c r="E33" s="97" t="s">
        <v>764</v>
      </c>
      <c r="F33" s="18" t="n">
        <v>2</v>
      </c>
      <c r="G33" s="97" t="s">
        <v>741</v>
      </c>
      <c r="H33" s="97" t="s">
        <v>707</v>
      </c>
      <c r="I33" s="1"/>
    </row>
    <row r="34" customFormat="false" ht="54" hidden="false" customHeight="true" outlineLevel="0" collapsed="false">
      <c r="A34" s="1"/>
      <c r="B34" s="165" t="s">
        <v>765</v>
      </c>
      <c r="C34" s="115" t="s">
        <v>766</v>
      </c>
      <c r="D34" s="115" t="s">
        <v>767</v>
      </c>
      <c r="E34" s="115" t="s">
        <v>768</v>
      </c>
      <c r="F34" s="33" t="n">
        <v>8</v>
      </c>
      <c r="G34" s="115" t="s">
        <v>741</v>
      </c>
      <c r="H34" s="115" t="s">
        <v>707</v>
      </c>
      <c r="I34" s="1"/>
    </row>
    <row r="35" customFormat="false" ht="14.2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4.2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9.5" hidden="false" customHeight="true" outlineLevel="0" collapsed="false">
      <c r="A37" s="1"/>
      <c r="B37" s="154" t="s">
        <v>769</v>
      </c>
      <c r="C37" s="154"/>
      <c r="D37" s="154"/>
      <c r="E37" s="154"/>
      <c r="F37" s="154"/>
      <c r="G37" s="154"/>
      <c r="H37" s="154"/>
      <c r="I37" s="1"/>
    </row>
    <row r="38" customFormat="false" ht="30" hidden="false" customHeight="true" outlineLevel="0" collapsed="false">
      <c r="A38" s="1"/>
      <c r="B38" s="36" t="s">
        <v>696</v>
      </c>
      <c r="C38" s="161" t="s">
        <v>697</v>
      </c>
      <c r="D38" s="162" t="s">
        <v>698</v>
      </c>
      <c r="E38" s="37" t="s">
        <v>699</v>
      </c>
      <c r="F38" s="38" t="s">
        <v>700</v>
      </c>
      <c r="G38" s="38" t="s">
        <v>304</v>
      </c>
      <c r="H38" s="38" t="s">
        <v>701</v>
      </c>
      <c r="I38" s="1"/>
    </row>
    <row r="39" customFormat="false" ht="42" hidden="false" customHeight="true" outlineLevel="0" collapsed="false">
      <c r="A39" s="1"/>
      <c r="B39" s="142" t="s">
        <v>770</v>
      </c>
      <c r="C39" s="97" t="s">
        <v>771</v>
      </c>
      <c r="D39" s="97" t="s">
        <v>772</v>
      </c>
      <c r="E39" s="97" t="s">
        <v>773</v>
      </c>
      <c r="F39" s="18" t="n">
        <v>8</v>
      </c>
      <c r="G39" s="97" t="s">
        <v>741</v>
      </c>
      <c r="H39" s="97" t="s">
        <v>774</v>
      </c>
      <c r="I39" s="1"/>
    </row>
    <row r="40" customFormat="false" ht="42" hidden="false" customHeight="true" outlineLevel="0" collapsed="false">
      <c r="A40" s="1"/>
      <c r="B40" s="141" t="s">
        <v>775</v>
      </c>
      <c r="C40" s="115" t="s">
        <v>776</v>
      </c>
      <c r="D40" s="115" t="s">
        <v>777</v>
      </c>
      <c r="E40" s="115" t="s">
        <v>778</v>
      </c>
      <c r="F40" s="33" t="n">
        <v>5</v>
      </c>
      <c r="G40" s="115" t="s">
        <v>741</v>
      </c>
      <c r="H40" s="115" t="s">
        <v>707</v>
      </c>
      <c r="I40" s="1"/>
    </row>
    <row r="41" customFormat="false" ht="54" hidden="false" customHeight="true" outlineLevel="0" collapsed="false">
      <c r="A41" s="1"/>
      <c r="B41" s="142" t="s">
        <v>779</v>
      </c>
      <c r="C41" s="97" t="s">
        <v>780</v>
      </c>
      <c r="D41" s="97" t="s">
        <v>781</v>
      </c>
      <c r="E41" s="97" t="s">
        <v>782</v>
      </c>
      <c r="F41" s="18" t="n">
        <v>5</v>
      </c>
      <c r="G41" s="97" t="s">
        <v>741</v>
      </c>
      <c r="H41" s="97" t="s">
        <v>707</v>
      </c>
      <c r="I41" s="1"/>
    </row>
    <row r="42" customFormat="false" ht="54" hidden="false" customHeight="true" outlineLevel="0" collapsed="false">
      <c r="A42" s="1"/>
      <c r="B42" s="141" t="s">
        <v>783</v>
      </c>
      <c r="C42" s="115" t="s">
        <v>784</v>
      </c>
      <c r="D42" s="115" t="s">
        <v>785</v>
      </c>
      <c r="E42" s="115" t="s">
        <v>786</v>
      </c>
      <c r="F42" s="33" t="n">
        <v>3</v>
      </c>
      <c r="G42" s="115" t="s">
        <v>741</v>
      </c>
      <c r="H42" s="115" t="s">
        <v>707</v>
      </c>
      <c r="I42" s="1"/>
    </row>
    <row r="43" customFormat="false" ht="14.2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4.2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4.2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4.2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4.2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4.2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4.2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4.2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4.2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4.2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4.2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4.2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4.2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4.2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4.2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4.2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4.2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4.2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4.2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4.2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4.2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4.2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4.2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4.2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4.2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4.2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4.2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4.2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4.2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4.2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4.2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4.2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4.2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4.2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4.2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4.2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4.2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4.2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4.2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4.2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4.2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4.2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4.2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4.2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4.2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4.2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4.2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14.2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</row>
    <row r="91" customFormat="false" ht="14.2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</row>
    <row r="92" customFormat="false" ht="14.2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</row>
    <row r="93" customFormat="false" ht="14.2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</row>
    <row r="94" customFormat="false" ht="14.2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4.2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</row>
    <row r="96" customFormat="false" ht="14.2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</row>
    <row r="97" customFormat="false" ht="14.2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</row>
    <row r="98" customFormat="false" ht="14.2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</row>
    <row r="99" customFormat="false" ht="14.2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</row>
  </sheetData>
  <mergeCells count="7">
    <mergeCell ref="B2:H2"/>
    <mergeCell ref="B3:H3"/>
    <mergeCell ref="B5:H5"/>
    <mergeCell ref="B13:H13"/>
    <mergeCell ref="B21:H21"/>
    <mergeCell ref="B29:H29"/>
    <mergeCell ref="B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0" activeCellId="0" sqref="D70"/>
    </sheetView>
  </sheetViews>
  <sheetFormatPr defaultColWidth="55.21875" defaultRowHeight="14.25" zeroHeight="false" outlineLevelRow="0" outlineLevelCol="0"/>
  <cols>
    <col collapsed="false" customWidth="true" hidden="false" outlineLevel="0" max="1" min="1" style="0" width="8.22"/>
    <col collapsed="false" customWidth="true" hidden="false" outlineLevel="0" max="2" min="2" style="0" width="20.66"/>
    <col collapsed="false" customWidth="true" hidden="false" outlineLevel="0" max="3" min="3" style="0" width="38"/>
    <col collapsed="false" customWidth="true" hidden="false" outlineLevel="0" max="4" min="4" style="0" width="31.11"/>
    <col collapsed="false" customWidth="true" hidden="false" outlineLevel="0" max="5" min="5" style="0" width="36.44"/>
    <col collapsed="false" customWidth="true" hidden="false" outlineLevel="0" max="6" min="6" style="0" width="13"/>
  </cols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1"/>
      <c r="B2" s="159" t="s">
        <v>787</v>
      </c>
      <c r="C2" s="159"/>
      <c r="D2" s="159"/>
      <c r="E2" s="159"/>
      <c r="F2" s="159"/>
      <c r="G2" s="1"/>
    </row>
    <row r="3" customFormat="false" ht="14.25" hidden="false" customHeight="false" outlineLevel="0" collapsed="false">
      <c r="A3" s="1"/>
      <c r="B3" s="160" t="s">
        <v>788</v>
      </c>
      <c r="C3" s="160"/>
      <c r="D3" s="160"/>
      <c r="E3" s="160"/>
      <c r="F3" s="160"/>
      <c r="G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9.5" hidden="false" customHeight="true" outlineLevel="0" collapsed="false">
      <c r="A5" s="1"/>
      <c r="B5" s="93" t="s">
        <v>789</v>
      </c>
      <c r="C5" s="93"/>
      <c r="D5" s="93"/>
      <c r="E5" s="93"/>
      <c r="F5" s="93"/>
      <c r="G5" s="1"/>
    </row>
    <row r="6" customFormat="false" ht="18" hidden="false" customHeight="true" outlineLevel="0" collapsed="false">
      <c r="A6" s="1"/>
      <c r="B6" s="161" t="s">
        <v>790</v>
      </c>
      <c r="C6" s="161" t="s">
        <v>791</v>
      </c>
      <c r="D6" s="162" t="s">
        <v>701</v>
      </c>
      <c r="E6" s="37" t="s">
        <v>792</v>
      </c>
      <c r="F6" s="38" t="s">
        <v>793</v>
      </c>
      <c r="G6" s="1"/>
    </row>
    <row r="7" customFormat="false" ht="50.25" hidden="false" customHeight="true" outlineLevel="0" collapsed="false">
      <c r="A7" s="1"/>
      <c r="B7" s="181" t="s">
        <v>794</v>
      </c>
      <c r="C7" s="115" t="s">
        <v>795</v>
      </c>
      <c r="D7" s="182" t="s">
        <v>5</v>
      </c>
      <c r="E7" s="182" t="s">
        <v>796</v>
      </c>
      <c r="F7" s="182" t="s">
        <v>797</v>
      </c>
      <c r="G7" s="1"/>
    </row>
    <row r="8" customFormat="false" ht="35.25" hidden="false" customHeight="true" outlineLevel="0" collapsed="false">
      <c r="A8" s="1"/>
      <c r="B8" s="183" t="s">
        <v>794</v>
      </c>
      <c r="C8" s="97" t="s">
        <v>798</v>
      </c>
      <c r="D8" s="182" t="s">
        <v>5</v>
      </c>
      <c r="E8" s="182" t="s">
        <v>796</v>
      </c>
      <c r="F8" s="182" t="s">
        <v>799</v>
      </c>
      <c r="G8" s="1"/>
    </row>
    <row r="9" customFormat="false" ht="65.25" hidden="false" customHeight="true" outlineLevel="0" collapsed="false">
      <c r="A9" s="1"/>
      <c r="B9" s="181" t="s">
        <v>800</v>
      </c>
      <c r="C9" s="115" t="s">
        <v>801</v>
      </c>
      <c r="D9" s="182" t="s">
        <v>5</v>
      </c>
      <c r="E9" s="182" t="s">
        <v>802</v>
      </c>
      <c r="F9" s="182" t="s">
        <v>803</v>
      </c>
      <c r="G9" s="1"/>
    </row>
    <row r="10" customFormat="false" ht="50.25" hidden="false" customHeight="true" outlineLevel="0" collapsed="false">
      <c r="A10" s="1"/>
      <c r="B10" s="183" t="s">
        <v>643</v>
      </c>
      <c r="C10" s="97" t="s">
        <v>804</v>
      </c>
      <c r="D10" s="182" t="s">
        <v>390</v>
      </c>
      <c r="E10" s="182" t="s">
        <v>390</v>
      </c>
      <c r="F10" s="182" t="s">
        <v>805</v>
      </c>
      <c r="G10" s="1"/>
    </row>
    <row r="11" customFormat="false" ht="50.25" hidden="false" customHeight="true" outlineLevel="0" collapsed="false">
      <c r="A11" s="1"/>
      <c r="B11" s="181" t="s">
        <v>643</v>
      </c>
      <c r="C11" s="115" t="s">
        <v>806</v>
      </c>
      <c r="D11" s="182" t="s">
        <v>390</v>
      </c>
      <c r="E11" s="182" t="s">
        <v>390</v>
      </c>
      <c r="F11" s="182" t="s">
        <v>805</v>
      </c>
      <c r="G11" s="1"/>
    </row>
    <row r="12" customFormat="false" ht="65.25" hidden="false" customHeight="true" outlineLevel="0" collapsed="false">
      <c r="A12" s="1"/>
      <c r="B12" s="183" t="s">
        <v>800</v>
      </c>
      <c r="C12" s="97" t="s">
        <v>807</v>
      </c>
      <c r="D12" s="182" t="s">
        <v>5</v>
      </c>
      <c r="E12" s="182" t="s">
        <v>17</v>
      </c>
      <c r="F12" s="182" t="s">
        <v>808</v>
      </c>
      <c r="G12" s="1"/>
    </row>
    <row r="13" customFormat="false" ht="79.5" hidden="false" customHeight="true" outlineLevel="0" collapsed="false">
      <c r="A13" s="1"/>
      <c r="B13" s="181" t="s">
        <v>800</v>
      </c>
      <c r="C13" s="115" t="s">
        <v>809</v>
      </c>
      <c r="D13" s="182" t="s">
        <v>5</v>
      </c>
      <c r="E13" s="182" t="s">
        <v>802</v>
      </c>
      <c r="F13" s="182" t="s">
        <v>810</v>
      </c>
      <c r="G13" s="1"/>
    </row>
    <row r="14" customFormat="false" ht="65.25" hidden="false" customHeight="true" outlineLevel="0" collapsed="false">
      <c r="A14" s="1"/>
      <c r="B14" s="183" t="s">
        <v>800</v>
      </c>
      <c r="C14" s="97" t="s">
        <v>811</v>
      </c>
      <c r="D14" s="182" t="s">
        <v>5</v>
      </c>
      <c r="E14" s="182" t="s">
        <v>17</v>
      </c>
      <c r="F14" s="182" t="s">
        <v>812</v>
      </c>
      <c r="G14" s="1"/>
    </row>
    <row r="15" customFormat="false" ht="14.2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4.2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9.5" hidden="false" customHeight="true" outlineLevel="0" collapsed="false">
      <c r="A17" s="1"/>
      <c r="B17" s="154" t="s">
        <v>813</v>
      </c>
      <c r="C17" s="154"/>
      <c r="D17" s="154"/>
      <c r="E17" s="154"/>
      <c r="F17" s="154"/>
      <c r="G17" s="1"/>
    </row>
    <row r="18" customFormat="false" ht="18" hidden="false" customHeight="true" outlineLevel="0" collapsed="false">
      <c r="A18" s="1"/>
      <c r="B18" s="36" t="s">
        <v>790</v>
      </c>
      <c r="C18" s="161" t="s">
        <v>791</v>
      </c>
      <c r="D18" s="162" t="s">
        <v>701</v>
      </c>
      <c r="E18" s="37" t="s">
        <v>792</v>
      </c>
      <c r="F18" s="38" t="s">
        <v>793</v>
      </c>
      <c r="G18" s="1"/>
    </row>
    <row r="19" customFormat="false" ht="79.5" hidden="false" customHeight="true" outlineLevel="0" collapsed="false">
      <c r="A19" s="1"/>
      <c r="B19" s="184" t="s">
        <v>794</v>
      </c>
      <c r="C19" s="115" t="s">
        <v>814</v>
      </c>
      <c r="D19" s="182" t="s">
        <v>5</v>
      </c>
      <c r="E19" s="182" t="s">
        <v>815</v>
      </c>
      <c r="F19" s="182" t="s">
        <v>816</v>
      </c>
      <c r="G19" s="1"/>
    </row>
    <row r="20" customFormat="false" ht="79.5" hidden="false" customHeight="true" outlineLevel="0" collapsed="false">
      <c r="A20" s="1"/>
      <c r="B20" s="185" t="s">
        <v>794</v>
      </c>
      <c r="C20" s="97" t="s">
        <v>817</v>
      </c>
      <c r="D20" s="182" t="s">
        <v>5</v>
      </c>
      <c r="E20" s="182" t="s">
        <v>815</v>
      </c>
      <c r="F20" s="182" t="s">
        <v>816</v>
      </c>
      <c r="G20" s="1"/>
    </row>
    <row r="21" customFormat="false" ht="50.25" hidden="false" customHeight="true" outlineLevel="0" collapsed="false">
      <c r="A21" s="1"/>
      <c r="B21" s="184" t="s">
        <v>800</v>
      </c>
      <c r="C21" s="115" t="s">
        <v>818</v>
      </c>
      <c r="D21" s="182" t="s">
        <v>5</v>
      </c>
      <c r="E21" s="182" t="s">
        <v>17</v>
      </c>
      <c r="F21" s="182" t="s">
        <v>819</v>
      </c>
      <c r="G21" s="1"/>
    </row>
    <row r="22" customFormat="false" ht="20.25" hidden="false" customHeight="true" outlineLevel="0" collapsed="false">
      <c r="A22" s="1"/>
      <c r="B22" s="185" t="s">
        <v>800</v>
      </c>
      <c r="C22" s="97" t="s">
        <v>820</v>
      </c>
      <c r="D22" s="182" t="s">
        <v>5</v>
      </c>
      <c r="E22" s="182" t="s">
        <v>802</v>
      </c>
      <c r="F22" s="182" t="s">
        <v>821</v>
      </c>
      <c r="G22" s="1"/>
    </row>
    <row r="23" customFormat="false" ht="79.5" hidden="false" customHeight="true" outlineLevel="0" collapsed="false">
      <c r="A23" s="1"/>
      <c r="B23" s="184" t="s">
        <v>800</v>
      </c>
      <c r="C23" s="115" t="s">
        <v>822</v>
      </c>
      <c r="D23" s="182" t="s">
        <v>5</v>
      </c>
      <c r="E23" s="182" t="s">
        <v>802</v>
      </c>
      <c r="F23" s="182" t="s">
        <v>823</v>
      </c>
      <c r="G23" s="1"/>
    </row>
    <row r="24" customFormat="false" ht="79.5" hidden="false" customHeight="true" outlineLevel="0" collapsed="false">
      <c r="A24" s="1"/>
      <c r="B24" s="185" t="s">
        <v>794</v>
      </c>
      <c r="C24" s="97" t="s">
        <v>824</v>
      </c>
      <c r="D24" s="182" t="s">
        <v>5</v>
      </c>
      <c r="E24" s="182" t="s">
        <v>815</v>
      </c>
      <c r="F24" s="182" t="s">
        <v>825</v>
      </c>
      <c r="G24" s="1"/>
    </row>
    <row r="25" customFormat="false" ht="65.25" hidden="false" customHeight="true" outlineLevel="0" collapsed="false">
      <c r="A25" s="1"/>
      <c r="B25" s="184" t="s">
        <v>643</v>
      </c>
      <c r="C25" s="115" t="s">
        <v>826</v>
      </c>
      <c r="D25" s="182" t="s">
        <v>390</v>
      </c>
      <c r="E25" s="182" t="s">
        <v>390</v>
      </c>
      <c r="F25" s="182" t="s">
        <v>827</v>
      </c>
      <c r="G25" s="1"/>
    </row>
    <row r="26" customFormat="false" ht="65.25" hidden="false" customHeight="true" outlineLevel="0" collapsed="false">
      <c r="A26" s="1"/>
      <c r="B26" s="185" t="s">
        <v>800</v>
      </c>
      <c r="C26" s="97" t="s">
        <v>828</v>
      </c>
      <c r="D26" s="182" t="s">
        <v>5</v>
      </c>
      <c r="E26" s="182" t="s">
        <v>802</v>
      </c>
      <c r="F26" s="182" t="s">
        <v>829</v>
      </c>
      <c r="G26" s="1"/>
    </row>
    <row r="27" customFormat="false" ht="14.2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4.2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9.5" hidden="false" customHeight="true" outlineLevel="0" collapsed="false">
      <c r="A29" s="1"/>
      <c r="B29" s="155" t="s">
        <v>830</v>
      </c>
      <c r="C29" s="155"/>
      <c r="D29" s="155"/>
      <c r="E29" s="155"/>
      <c r="F29" s="155"/>
      <c r="G29" s="1"/>
    </row>
    <row r="30" customFormat="false" ht="18" hidden="false" customHeight="true" outlineLevel="0" collapsed="false">
      <c r="A30" s="1"/>
      <c r="B30" s="32" t="s">
        <v>790</v>
      </c>
      <c r="C30" s="161" t="s">
        <v>791</v>
      </c>
      <c r="D30" s="162" t="s">
        <v>701</v>
      </c>
      <c r="E30" s="37" t="s">
        <v>792</v>
      </c>
      <c r="F30" s="38" t="s">
        <v>793</v>
      </c>
      <c r="G30" s="1"/>
    </row>
    <row r="31" customFormat="false" ht="50.25" hidden="false" customHeight="true" outlineLevel="0" collapsed="false">
      <c r="A31" s="1"/>
      <c r="B31" s="186" t="s">
        <v>794</v>
      </c>
      <c r="C31" s="115" t="s">
        <v>831</v>
      </c>
      <c r="D31" s="182" t="s">
        <v>5</v>
      </c>
      <c r="E31" s="182" t="s">
        <v>796</v>
      </c>
      <c r="F31" s="182" t="s">
        <v>832</v>
      </c>
      <c r="G31" s="1"/>
    </row>
    <row r="32" customFormat="false" ht="35.25" hidden="false" customHeight="true" outlineLevel="0" collapsed="false">
      <c r="A32" s="1"/>
      <c r="B32" s="187" t="s">
        <v>794</v>
      </c>
      <c r="C32" s="97" t="s">
        <v>833</v>
      </c>
      <c r="D32" s="182" t="s">
        <v>5</v>
      </c>
      <c r="E32" s="182" t="s">
        <v>796</v>
      </c>
      <c r="F32" s="182" t="s">
        <v>834</v>
      </c>
      <c r="G32" s="1"/>
    </row>
    <row r="33" customFormat="false" ht="65.25" hidden="false" customHeight="true" outlineLevel="0" collapsed="false">
      <c r="A33" s="1"/>
      <c r="B33" s="186" t="s">
        <v>794</v>
      </c>
      <c r="C33" s="115" t="s">
        <v>835</v>
      </c>
      <c r="D33" s="182" t="s">
        <v>5</v>
      </c>
      <c r="E33" s="182" t="s">
        <v>796</v>
      </c>
      <c r="F33" s="182" t="s">
        <v>836</v>
      </c>
      <c r="G33" s="1"/>
    </row>
    <row r="34" customFormat="false" ht="65.25" hidden="false" customHeight="true" outlineLevel="0" collapsed="false">
      <c r="A34" s="1"/>
      <c r="B34" s="187" t="s">
        <v>643</v>
      </c>
      <c r="C34" s="97" t="s">
        <v>837</v>
      </c>
      <c r="D34" s="182" t="s">
        <v>390</v>
      </c>
      <c r="E34" s="182" t="s">
        <v>390</v>
      </c>
      <c r="F34" s="182" t="s">
        <v>838</v>
      </c>
      <c r="G34" s="1"/>
    </row>
    <row r="35" customFormat="false" ht="50.25" hidden="false" customHeight="true" outlineLevel="0" collapsed="false">
      <c r="A35" s="1"/>
      <c r="B35" s="186" t="s">
        <v>794</v>
      </c>
      <c r="C35" s="115" t="s">
        <v>839</v>
      </c>
      <c r="D35" s="182" t="s">
        <v>5</v>
      </c>
      <c r="E35" s="182" t="s">
        <v>796</v>
      </c>
      <c r="F35" s="182" t="s">
        <v>840</v>
      </c>
      <c r="G35" s="1"/>
    </row>
    <row r="36" customFormat="false" ht="30" hidden="false" customHeight="true" outlineLevel="0" collapsed="false">
      <c r="A36" s="1"/>
      <c r="B36" s="187" t="s">
        <v>794</v>
      </c>
      <c r="C36" s="97" t="s">
        <v>841</v>
      </c>
      <c r="D36" s="182" t="s">
        <v>5</v>
      </c>
      <c r="E36" s="182" t="s">
        <v>796</v>
      </c>
      <c r="F36" s="182" t="s">
        <v>842</v>
      </c>
      <c r="G36" s="1"/>
    </row>
    <row r="37" customFormat="false" ht="35.25" hidden="false" customHeight="true" outlineLevel="0" collapsed="false">
      <c r="A37" s="1"/>
      <c r="B37" s="186" t="s">
        <v>794</v>
      </c>
      <c r="C37" s="115" t="s">
        <v>843</v>
      </c>
      <c r="D37" s="182" t="s">
        <v>5</v>
      </c>
      <c r="E37" s="182" t="s">
        <v>815</v>
      </c>
      <c r="F37" s="182" t="s">
        <v>844</v>
      </c>
      <c r="G37" s="1"/>
    </row>
    <row r="38" customFormat="false" ht="65.25" hidden="false" customHeight="true" outlineLevel="0" collapsed="false">
      <c r="A38" s="1"/>
      <c r="B38" s="187" t="s">
        <v>800</v>
      </c>
      <c r="C38" s="97" t="s">
        <v>845</v>
      </c>
      <c r="D38" s="182" t="s">
        <v>5</v>
      </c>
      <c r="E38" s="182" t="s">
        <v>17</v>
      </c>
      <c r="F38" s="182" t="s">
        <v>846</v>
      </c>
      <c r="G38" s="1"/>
    </row>
    <row r="39" customFormat="false" ht="14.2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4.2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9.5" hidden="false" customHeight="true" outlineLevel="0" collapsed="false">
      <c r="A41" s="1"/>
      <c r="B41" s="98" t="s">
        <v>847</v>
      </c>
      <c r="C41" s="98"/>
      <c r="D41" s="98"/>
      <c r="E41" s="98"/>
      <c r="F41" s="98"/>
      <c r="G41" s="1"/>
    </row>
    <row r="42" customFormat="false" ht="18" hidden="false" customHeight="true" outlineLevel="0" collapsed="false">
      <c r="A42" s="1"/>
      <c r="B42" s="35" t="s">
        <v>790</v>
      </c>
      <c r="C42" s="161" t="s">
        <v>791</v>
      </c>
      <c r="D42" s="162" t="s">
        <v>701</v>
      </c>
      <c r="E42" s="37" t="s">
        <v>792</v>
      </c>
      <c r="F42" s="38" t="s">
        <v>793</v>
      </c>
      <c r="G42" s="1"/>
    </row>
    <row r="43" customFormat="false" ht="50.25" hidden="false" customHeight="true" outlineLevel="0" collapsed="false">
      <c r="A43" s="1"/>
      <c r="B43" s="188" t="s">
        <v>643</v>
      </c>
      <c r="C43" s="115" t="s">
        <v>848</v>
      </c>
      <c r="D43" s="182" t="s">
        <v>390</v>
      </c>
      <c r="E43" s="182" t="s">
        <v>390</v>
      </c>
      <c r="F43" s="182" t="s">
        <v>849</v>
      </c>
      <c r="G43" s="1"/>
    </row>
    <row r="44" customFormat="false" ht="50.25" hidden="false" customHeight="true" outlineLevel="0" collapsed="false">
      <c r="A44" s="1"/>
      <c r="B44" s="189" t="s">
        <v>643</v>
      </c>
      <c r="C44" s="97" t="s">
        <v>850</v>
      </c>
      <c r="D44" s="182" t="s">
        <v>390</v>
      </c>
      <c r="E44" s="182" t="s">
        <v>390</v>
      </c>
      <c r="F44" s="182" t="s">
        <v>849</v>
      </c>
      <c r="G44" s="1"/>
    </row>
    <row r="45" customFormat="false" ht="65.25" hidden="false" customHeight="true" outlineLevel="0" collapsed="false">
      <c r="A45" s="1"/>
      <c r="B45" s="188" t="s">
        <v>800</v>
      </c>
      <c r="C45" s="115" t="s">
        <v>851</v>
      </c>
      <c r="D45" s="182" t="s">
        <v>5</v>
      </c>
      <c r="E45" s="182" t="s">
        <v>802</v>
      </c>
      <c r="F45" s="182" t="s">
        <v>852</v>
      </c>
      <c r="G45" s="1"/>
    </row>
    <row r="46" customFormat="false" ht="35.25" hidden="false" customHeight="true" outlineLevel="0" collapsed="false">
      <c r="A46" s="1"/>
      <c r="B46" s="189" t="s">
        <v>643</v>
      </c>
      <c r="C46" s="97" t="s">
        <v>853</v>
      </c>
      <c r="D46" s="182" t="s">
        <v>390</v>
      </c>
      <c r="E46" s="182" t="s">
        <v>390</v>
      </c>
      <c r="F46" s="182" t="s">
        <v>854</v>
      </c>
      <c r="G46" s="1"/>
    </row>
    <row r="47" customFormat="false" ht="50.25" hidden="false" customHeight="true" outlineLevel="0" collapsed="false">
      <c r="A47" s="1"/>
      <c r="B47" s="188" t="s">
        <v>794</v>
      </c>
      <c r="C47" s="115" t="s">
        <v>855</v>
      </c>
      <c r="D47" s="182" t="s">
        <v>5</v>
      </c>
      <c r="E47" s="182" t="s">
        <v>856</v>
      </c>
      <c r="F47" s="182" t="s">
        <v>857</v>
      </c>
      <c r="G47" s="1"/>
    </row>
    <row r="48" customFormat="false" ht="50.25" hidden="false" customHeight="true" outlineLevel="0" collapsed="false">
      <c r="A48" s="1"/>
      <c r="B48" s="189" t="s">
        <v>794</v>
      </c>
      <c r="C48" s="97" t="s">
        <v>858</v>
      </c>
      <c r="D48" s="182" t="s">
        <v>5</v>
      </c>
      <c r="E48" s="182" t="s">
        <v>796</v>
      </c>
      <c r="F48" s="182" t="s">
        <v>859</v>
      </c>
      <c r="G48" s="1"/>
    </row>
    <row r="49" customFormat="false" ht="35.25" hidden="false" customHeight="true" outlineLevel="0" collapsed="false">
      <c r="A49" s="1"/>
      <c r="B49" s="188" t="s">
        <v>643</v>
      </c>
      <c r="C49" s="115" t="s">
        <v>860</v>
      </c>
      <c r="D49" s="182" t="s">
        <v>390</v>
      </c>
      <c r="E49" s="182" t="s">
        <v>390</v>
      </c>
      <c r="F49" s="182" t="s">
        <v>861</v>
      </c>
      <c r="G49" s="1"/>
    </row>
    <row r="50" customFormat="false" ht="50.25" hidden="false" customHeight="true" outlineLevel="0" collapsed="false">
      <c r="A50" s="1"/>
      <c r="B50" s="189" t="s">
        <v>794</v>
      </c>
      <c r="C50" s="97" t="s">
        <v>862</v>
      </c>
      <c r="D50" s="182" t="s">
        <v>5</v>
      </c>
      <c r="E50" s="182" t="s">
        <v>796</v>
      </c>
      <c r="F50" s="182" t="s">
        <v>863</v>
      </c>
      <c r="G50" s="1"/>
    </row>
    <row r="51" customFormat="false" ht="14.2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4.25" hidden="false" customHeight="false" outlineLevel="0" collapsed="false">
      <c r="A52" s="1"/>
      <c r="B52" s="1"/>
      <c r="C52" s="1"/>
      <c r="D52" s="1"/>
      <c r="E52" s="1"/>
      <c r="F52" s="1"/>
      <c r="G52" s="1"/>
    </row>
    <row r="53" customFormat="false" ht="19.5" hidden="false" customHeight="true" outlineLevel="0" collapsed="false">
      <c r="A53" s="1"/>
      <c r="B53" s="146" t="s">
        <v>864</v>
      </c>
      <c r="C53" s="146"/>
      <c r="D53" s="146"/>
      <c r="E53" s="146"/>
      <c r="F53" s="146"/>
      <c r="G53" s="1"/>
    </row>
    <row r="54" customFormat="false" ht="18" hidden="false" customHeight="true" outlineLevel="0" collapsed="false">
      <c r="A54" s="1"/>
      <c r="B54" s="37" t="s">
        <v>790</v>
      </c>
      <c r="C54" s="161" t="s">
        <v>791</v>
      </c>
      <c r="D54" s="162" t="s">
        <v>701</v>
      </c>
      <c r="E54" s="37" t="s">
        <v>792</v>
      </c>
      <c r="F54" s="38" t="s">
        <v>793</v>
      </c>
      <c r="G54" s="1"/>
    </row>
    <row r="55" customFormat="false" ht="35.25" hidden="false" customHeight="true" outlineLevel="0" collapsed="false">
      <c r="A55" s="1"/>
      <c r="B55" s="190" t="s">
        <v>643</v>
      </c>
      <c r="C55" s="115" t="s">
        <v>865</v>
      </c>
      <c r="D55" s="182" t="s">
        <v>390</v>
      </c>
      <c r="E55" s="182" t="s">
        <v>390</v>
      </c>
      <c r="F55" s="182" t="s">
        <v>866</v>
      </c>
      <c r="G55" s="1"/>
    </row>
    <row r="56" customFormat="false" ht="30" hidden="false" customHeight="true" outlineLevel="0" collapsed="false">
      <c r="A56" s="1"/>
      <c r="B56" s="191" t="s">
        <v>643</v>
      </c>
      <c r="C56" s="97" t="s">
        <v>867</v>
      </c>
      <c r="D56" s="182" t="s">
        <v>390</v>
      </c>
      <c r="E56" s="182" t="s">
        <v>390</v>
      </c>
      <c r="F56" s="182" t="s">
        <v>868</v>
      </c>
      <c r="G56" s="1"/>
    </row>
    <row r="57" customFormat="false" ht="35.25" hidden="false" customHeight="true" outlineLevel="0" collapsed="false">
      <c r="A57" s="1"/>
      <c r="B57" s="190" t="s">
        <v>643</v>
      </c>
      <c r="C57" s="115" t="s">
        <v>869</v>
      </c>
      <c r="D57" s="182" t="s">
        <v>390</v>
      </c>
      <c r="E57" s="182" t="s">
        <v>390</v>
      </c>
      <c r="F57" s="182" t="s">
        <v>870</v>
      </c>
      <c r="G57" s="1"/>
    </row>
    <row r="58" customFormat="false" ht="35.25" hidden="false" customHeight="true" outlineLevel="0" collapsed="false">
      <c r="A58" s="1"/>
      <c r="B58" s="191" t="s">
        <v>643</v>
      </c>
      <c r="C58" s="97" t="s">
        <v>871</v>
      </c>
      <c r="D58" s="182" t="s">
        <v>390</v>
      </c>
      <c r="E58" s="182" t="s">
        <v>390</v>
      </c>
      <c r="F58" s="182" t="s">
        <v>872</v>
      </c>
      <c r="G58" s="1"/>
    </row>
    <row r="59" customFormat="false" ht="30" hidden="false" customHeight="true" outlineLevel="0" collapsed="false">
      <c r="A59" s="1"/>
      <c r="B59" s="190" t="s">
        <v>643</v>
      </c>
      <c r="C59" s="115" t="s">
        <v>873</v>
      </c>
      <c r="D59" s="182" t="s">
        <v>390</v>
      </c>
      <c r="E59" s="182" t="s">
        <v>390</v>
      </c>
      <c r="F59" s="182" t="s">
        <v>874</v>
      </c>
      <c r="G59" s="1"/>
    </row>
    <row r="60" customFormat="false" ht="14.25" hidden="false" customHeight="false" outlineLevel="0" collapsed="false">
      <c r="A60" s="1"/>
      <c r="B60" s="1"/>
      <c r="C60" s="1"/>
      <c r="D60" s="1"/>
      <c r="E60" s="1"/>
      <c r="F60" s="1"/>
      <c r="G60" s="1"/>
    </row>
    <row r="61" customFormat="false" ht="14.25" hidden="false" customHeight="false" outlineLevel="0" collapsed="false">
      <c r="A61" s="1"/>
      <c r="B61" s="1"/>
      <c r="C61" s="1"/>
      <c r="D61" s="1"/>
      <c r="E61" s="1"/>
      <c r="F61" s="1"/>
      <c r="G61" s="1"/>
    </row>
    <row r="62" customFormat="false" ht="33" hidden="false" customHeight="true" outlineLevel="0" collapsed="false">
      <c r="A62" s="1"/>
      <c r="B62" s="192" t="s">
        <v>875</v>
      </c>
      <c r="C62" s="192"/>
      <c r="D62" s="193" t="s">
        <v>876</v>
      </c>
      <c r="E62" s="194" t="s">
        <v>877</v>
      </c>
      <c r="F62" s="195" t="s">
        <v>878</v>
      </c>
      <c r="G62" s="1"/>
    </row>
    <row r="63" customFormat="false" ht="14.25" hidden="false" customHeight="false" outlineLevel="0" collapsed="false">
      <c r="A63" s="1"/>
      <c r="B63" s="1"/>
      <c r="C63" s="1"/>
      <c r="D63" s="1" t="str">
        <f aca="false">COUNTIF(B7:B59,"✅")&amp;" de "&amp;(COUNTA(B7:B59)-COUNTIF(B7:B59,"✓")-COUNTIF(B7:B59,"N/A"))&amp;" aplicables"</f>
        <v>10 de 28 aplicables</v>
      </c>
      <c r="E63" s="136" t="n">
        <f aca="false">COUNTIF(B7:B59,"✅")/(COUNTA(B7:B59)-COUNTIF(B7:B59,"✓")-COUNTIF(B7:B59,"N/A"))</f>
        <v>0.357142857142857</v>
      </c>
      <c r="F63" s="1" t="str">
        <f aca="false">IF(E63&gt;=0.85,"Sí","No: falta llegar al 85 %")</f>
        <v>No: falta llegar al 85 %</v>
      </c>
      <c r="G63" s="1"/>
    </row>
    <row r="64" customFormat="false" ht="14.25" hidden="false" customHeight="false" outlineLevel="0" collapsed="false">
      <c r="A64" s="1"/>
      <c r="B64" s="1"/>
      <c r="C64" s="1"/>
      <c r="D64" s="1"/>
      <c r="E64" s="1"/>
      <c r="F64" s="1"/>
      <c r="G64" s="1"/>
    </row>
    <row r="65" customFormat="false" ht="14.25" hidden="false" customHeight="false" outlineLevel="0" collapsed="false">
      <c r="A65" s="1"/>
      <c r="B65" s="1"/>
      <c r="C65" s="1"/>
      <c r="D65" s="1"/>
      <c r="E65" s="1"/>
      <c r="F65" s="1"/>
      <c r="G65" s="1"/>
    </row>
    <row r="66" customFormat="false" ht="14.25" hidden="false" customHeight="false" outlineLevel="0" collapsed="false">
      <c r="A66" s="1"/>
      <c r="B66" s="1"/>
      <c r="C66" s="1"/>
      <c r="D66" s="1"/>
      <c r="E66" s="1"/>
      <c r="F66" s="1"/>
      <c r="G66" s="1"/>
    </row>
    <row r="67" customFormat="false" ht="14.25" hidden="false" customHeight="false" outlineLevel="0" collapsed="false">
      <c r="A67" s="1"/>
      <c r="B67" s="1"/>
      <c r="C67" s="1"/>
      <c r="D67" s="1"/>
      <c r="E67" s="1"/>
      <c r="F67" s="1"/>
      <c r="G67" s="1"/>
    </row>
    <row r="68" customFormat="false" ht="14.25" hidden="false" customHeight="false" outlineLevel="0" collapsed="false">
      <c r="A68" s="1"/>
      <c r="B68" s="1"/>
      <c r="C68" s="1"/>
      <c r="D68" s="1"/>
      <c r="E68" s="1"/>
      <c r="F68" s="1"/>
      <c r="G68" s="1"/>
    </row>
    <row r="69" customFormat="false" ht="14.25" hidden="false" customHeight="false" outlineLevel="0" collapsed="false">
      <c r="A69" s="1"/>
      <c r="B69" s="1"/>
      <c r="C69" s="1"/>
      <c r="D69" s="1"/>
      <c r="E69" s="1"/>
      <c r="F69" s="1"/>
      <c r="G69" s="1"/>
    </row>
    <row r="70" customFormat="false" ht="14.25" hidden="false" customHeight="false" outlineLevel="0" collapsed="false">
      <c r="A70" s="1"/>
      <c r="B70" s="1"/>
      <c r="C70" s="1"/>
      <c r="D70" s="1"/>
      <c r="E70" s="1"/>
      <c r="F70" s="1"/>
      <c r="G70" s="1"/>
    </row>
    <row r="71" customFormat="false" ht="14.25" hidden="false" customHeight="false" outlineLevel="0" collapsed="false">
      <c r="A71" s="1"/>
      <c r="B71" s="1"/>
      <c r="C71" s="1"/>
      <c r="D71" s="1"/>
      <c r="E71" s="1"/>
      <c r="F71" s="1"/>
      <c r="G71" s="1"/>
    </row>
    <row r="72" customFormat="false" ht="14.25" hidden="false" customHeight="false" outlineLevel="0" collapsed="false">
      <c r="A72" s="1"/>
      <c r="B72" s="1"/>
      <c r="C72" s="1"/>
      <c r="D72" s="1"/>
      <c r="E72" s="1"/>
      <c r="F72" s="1"/>
      <c r="G72" s="1"/>
    </row>
    <row r="73" customFormat="false" ht="14.25" hidden="false" customHeight="false" outlineLevel="0" collapsed="false">
      <c r="A73" s="1"/>
      <c r="B73" s="1"/>
      <c r="C73" s="1"/>
      <c r="D73" s="1"/>
      <c r="E73" s="1"/>
      <c r="F73" s="1"/>
      <c r="G73" s="1"/>
    </row>
    <row r="74" customFormat="false" ht="14.25" hidden="false" customHeight="false" outlineLevel="0" collapsed="false">
      <c r="A74" s="1"/>
      <c r="B74" s="1"/>
      <c r="C74" s="1"/>
      <c r="D74" s="1"/>
      <c r="E74" s="1"/>
      <c r="F74" s="1"/>
      <c r="G74" s="1"/>
    </row>
    <row r="75" customFormat="false" ht="14.25" hidden="false" customHeight="false" outlineLevel="0" collapsed="false">
      <c r="A75" s="1"/>
      <c r="B75" s="1"/>
      <c r="C75" s="1"/>
      <c r="D75" s="1"/>
      <c r="E75" s="1"/>
      <c r="F75" s="1"/>
      <c r="G75" s="1"/>
    </row>
    <row r="76" customFormat="false" ht="14.25" hidden="false" customHeight="false" outlineLevel="0" collapsed="false">
      <c r="A76" s="1"/>
      <c r="B76" s="1"/>
      <c r="C76" s="1"/>
      <c r="D76" s="1"/>
      <c r="E76" s="1"/>
      <c r="F76" s="1"/>
      <c r="G76" s="1"/>
    </row>
    <row r="77" customFormat="false" ht="14.25" hidden="false" customHeight="false" outlineLevel="0" collapsed="false">
      <c r="A77" s="1"/>
      <c r="B77" s="1"/>
      <c r="C77" s="1"/>
      <c r="D77" s="1"/>
      <c r="E77" s="1"/>
      <c r="F77" s="1"/>
      <c r="G77" s="1"/>
    </row>
    <row r="78" customFormat="false" ht="14.25" hidden="false" customHeight="false" outlineLevel="0" collapsed="false">
      <c r="A78" s="1"/>
      <c r="B78" s="1"/>
      <c r="C78" s="1"/>
      <c r="D78" s="1"/>
      <c r="E78" s="1"/>
      <c r="F78" s="1"/>
      <c r="G78" s="1"/>
    </row>
    <row r="79" customFormat="false" ht="14.25" hidden="false" customHeight="false" outlineLevel="0" collapsed="false">
      <c r="A79" s="1"/>
      <c r="B79" s="1"/>
      <c r="C79" s="1"/>
      <c r="D79" s="1"/>
      <c r="E79" s="1"/>
      <c r="F79" s="1"/>
      <c r="G79" s="1"/>
    </row>
    <row r="80" customFormat="false" ht="14.25" hidden="false" customHeight="false" outlineLevel="0" collapsed="false">
      <c r="A80" s="1"/>
      <c r="B80" s="1"/>
      <c r="C80" s="1"/>
      <c r="D80" s="1"/>
      <c r="E80" s="1"/>
      <c r="F80" s="1"/>
      <c r="G80" s="1"/>
    </row>
    <row r="81" customFormat="false" ht="14.25" hidden="false" customHeight="false" outlineLevel="0" collapsed="false">
      <c r="A81" s="1"/>
      <c r="B81" s="1"/>
      <c r="C81" s="1"/>
      <c r="D81" s="1"/>
      <c r="E81" s="1"/>
      <c r="F81" s="1"/>
      <c r="G81" s="1"/>
    </row>
    <row r="82" customFormat="false" ht="14.25" hidden="false" customHeight="false" outlineLevel="0" collapsed="false">
      <c r="A82" s="1"/>
      <c r="B82" s="1"/>
      <c r="C82" s="1"/>
      <c r="D82" s="1"/>
      <c r="E82" s="1"/>
      <c r="F82" s="1"/>
      <c r="G82" s="1"/>
    </row>
    <row r="83" customFormat="false" ht="14.25" hidden="false" customHeight="false" outlineLevel="0" collapsed="false">
      <c r="A83" s="1"/>
      <c r="B83" s="1"/>
      <c r="C83" s="1"/>
      <c r="D83" s="1"/>
      <c r="E83" s="1"/>
      <c r="F83" s="1"/>
      <c r="G83" s="1"/>
    </row>
    <row r="84" customFormat="false" ht="14.25" hidden="false" customHeight="false" outlineLevel="0" collapsed="false">
      <c r="A84" s="1"/>
      <c r="B84" s="1"/>
      <c r="C84" s="1"/>
      <c r="D84" s="1"/>
      <c r="E84" s="1"/>
      <c r="F84" s="1"/>
      <c r="G84" s="1"/>
    </row>
    <row r="85" customFormat="false" ht="14.25" hidden="false" customHeight="false" outlineLevel="0" collapsed="false">
      <c r="A85" s="1"/>
      <c r="B85" s="1"/>
      <c r="C85" s="1"/>
      <c r="D85" s="1"/>
      <c r="E85" s="1"/>
      <c r="F85" s="1"/>
      <c r="G85" s="1"/>
    </row>
    <row r="86" customFormat="false" ht="14.25" hidden="false" customHeight="false" outlineLevel="0" collapsed="false">
      <c r="A86" s="1"/>
      <c r="B86" s="1"/>
      <c r="C86" s="1"/>
      <c r="D86" s="1"/>
      <c r="E86" s="1"/>
      <c r="F86" s="1"/>
      <c r="G86" s="1"/>
    </row>
    <row r="87" customFormat="false" ht="14.25" hidden="false" customHeight="false" outlineLevel="0" collapsed="false">
      <c r="A87" s="1"/>
      <c r="B87" s="1"/>
      <c r="C87" s="1"/>
      <c r="D87" s="1"/>
      <c r="E87" s="1"/>
      <c r="F87" s="1"/>
      <c r="G87" s="1"/>
    </row>
    <row r="88" customFormat="false" ht="14.25" hidden="false" customHeight="false" outlineLevel="0" collapsed="false">
      <c r="A88" s="1"/>
      <c r="B88" s="1"/>
      <c r="C88" s="1"/>
      <c r="D88" s="1"/>
      <c r="E88" s="1"/>
      <c r="F88" s="1"/>
      <c r="G88" s="1"/>
    </row>
    <row r="89" customFormat="false" ht="14.25" hidden="false" customHeight="false" outlineLevel="0" collapsed="false">
      <c r="A89" s="1"/>
      <c r="B89" s="1"/>
      <c r="C89" s="1"/>
      <c r="D89" s="1"/>
      <c r="E89" s="1"/>
      <c r="F89" s="1"/>
      <c r="G89" s="1"/>
    </row>
    <row r="90" customFormat="false" ht="14.25" hidden="false" customHeight="false" outlineLevel="0" collapsed="false">
      <c r="A90" s="1"/>
      <c r="B90" s="1"/>
      <c r="C90" s="1"/>
      <c r="D90" s="1"/>
      <c r="E90" s="1"/>
      <c r="F90" s="1"/>
      <c r="G90" s="1"/>
    </row>
    <row r="91" customFormat="false" ht="14.25" hidden="false" customHeight="false" outlineLevel="0" collapsed="false">
      <c r="A91" s="1"/>
      <c r="B91" s="1"/>
      <c r="C91" s="1"/>
      <c r="D91" s="1"/>
      <c r="E91" s="1"/>
      <c r="F91" s="1"/>
      <c r="G91" s="1"/>
    </row>
    <row r="92" customFormat="false" ht="14.25" hidden="false" customHeight="false" outlineLevel="0" collapsed="false">
      <c r="A92" s="1"/>
      <c r="B92" s="1"/>
      <c r="C92" s="1"/>
      <c r="D92" s="1"/>
      <c r="E92" s="1"/>
      <c r="F92" s="1"/>
      <c r="G92" s="1"/>
    </row>
    <row r="93" customFormat="false" ht="14.25" hidden="false" customHeight="false" outlineLevel="0" collapsed="false">
      <c r="A93" s="1"/>
      <c r="B93" s="1"/>
      <c r="C93" s="1"/>
      <c r="D93" s="1"/>
      <c r="E93" s="1"/>
      <c r="F93" s="1"/>
      <c r="G93" s="1"/>
    </row>
    <row r="94" customFormat="false" ht="14.25" hidden="false" customHeight="false" outlineLevel="0" collapsed="false">
      <c r="A94" s="1"/>
      <c r="B94" s="1"/>
      <c r="C94" s="1"/>
      <c r="D94" s="1"/>
      <c r="E94" s="1"/>
      <c r="F94" s="1"/>
      <c r="G94" s="1"/>
    </row>
    <row r="95" customFormat="false" ht="14.25" hidden="false" customHeight="false" outlineLevel="0" collapsed="false">
      <c r="A95" s="1"/>
      <c r="B95" s="1"/>
      <c r="C95" s="1"/>
      <c r="D95" s="1"/>
      <c r="E95" s="1"/>
      <c r="F95" s="1"/>
      <c r="G95" s="1"/>
    </row>
    <row r="96" customFormat="false" ht="14.25" hidden="false" customHeight="false" outlineLevel="0" collapsed="false">
      <c r="A96" s="1"/>
      <c r="B96" s="1"/>
      <c r="C96" s="1"/>
      <c r="D96" s="1"/>
      <c r="E96" s="1"/>
      <c r="F96" s="1"/>
      <c r="G96" s="1"/>
    </row>
    <row r="97" customFormat="false" ht="14.25" hidden="false" customHeight="false" outlineLevel="0" collapsed="false">
      <c r="A97" s="1"/>
      <c r="B97" s="1"/>
      <c r="C97" s="1"/>
      <c r="D97" s="1"/>
      <c r="E97" s="1"/>
      <c r="F97" s="1"/>
      <c r="G97" s="1"/>
    </row>
    <row r="98" customFormat="false" ht="14.25" hidden="false" customHeight="false" outlineLevel="0" collapsed="false">
      <c r="A98" s="1"/>
      <c r="B98" s="1"/>
      <c r="C98" s="1"/>
      <c r="D98" s="1"/>
      <c r="E98" s="1"/>
      <c r="F98" s="1"/>
      <c r="G98" s="1"/>
    </row>
    <row r="99" customFormat="false" ht="14.25" hidden="false" customHeight="false" outlineLevel="0" collapsed="false">
      <c r="A99" s="1"/>
      <c r="B99" s="1"/>
      <c r="C99" s="1"/>
      <c r="D99" s="1"/>
      <c r="E99" s="1"/>
      <c r="F99" s="1"/>
      <c r="G99" s="1"/>
    </row>
    <row r="100" customFormat="false" ht="14.25" hidden="false" customHeight="false" outlineLevel="0" collapsed="false">
      <c r="A100" s="1"/>
      <c r="B100" s="1"/>
      <c r="C100" s="1"/>
      <c r="D100" s="1"/>
      <c r="E100" s="1"/>
      <c r="F100" s="1"/>
      <c r="G100" s="1"/>
    </row>
    <row r="101" customFormat="false" ht="14.25" hidden="false" customHeight="false" outlineLevel="0" collapsed="false">
      <c r="A101" s="1"/>
      <c r="B101" s="1"/>
      <c r="C101" s="1"/>
      <c r="D101" s="1"/>
      <c r="E101" s="1"/>
      <c r="F101" s="1"/>
      <c r="G101" s="1"/>
    </row>
    <row r="102" customFormat="false" ht="14.25" hidden="false" customHeight="false" outlineLevel="0" collapsed="false">
      <c r="A102" s="1"/>
      <c r="B102" s="1"/>
      <c r="C102" s="1"/>
      <c r="D102" s="1"/>
      <c r="E102" s="1"/>
      <c r="F102" s="1"/>
      <c r="G102" s="1"/>
    </row>
    <row r="103" customFormat="false" ht="14.25" hidden="false" customHeight="false" outlineLevel="0" collapsed="false">
      <c r="A103" s="1"/>
      <c r="B103" s="1"/>
      <c r="C103" s="1"/>
      <c r="D103" s="1"/>
      <c r="E103" s="1"/>
      <c r="F103" s="1"/>
      <c r="G103" s="1"/>
    </row>
    <row r="104" customFormat="false" ht="14.25" hidden="false" customHeight="false" outlineLevel="0" collapsed="false">
      <c r="A104" s="1"/>
      <c r="B104" s="1"/>
      <c r="C104" s="1"/>
      <c r="D104" s="1"/>
      <c r="E104" s="1"/>
      <c r="F104" s="1"/>
      <c r="G104" s="1"/>
    </row>
    <row r="105" customFormat="false" ht="14.25" hidden="false" customHeight="false" outlineLevel="0" collapsed="false">
      <c r="A105" s="1"/>
      <c r="B105" s="1"/>
      <c r="C105" s="1"/>
      <c r="D105" s="1"/>
      <c r="E105" s="1"/>
      <c r="F105" s="1"/>
      <c r="G105" s="1"/>
    </row>
    <row r="106" customFormat="false" ht="14.25" hidden="false" customHeight="false" outlineLevel="0" collapsed="false">
      <c r="A106" s="1"/>
      <c r="B106" s="1"/>
      <c r="C106" s="1"/>
      <c r="D106" s="1"/>
      <c r="E106" s="1"/>
      <c r="F106" s="1"/>
      <c r="G106" s="1"/>
    </row>
    <row r="107" customFormat="false" ht="14.25" hidden="false" customHeight="false" outlineLevel="0" collapsed="false">
      <c r="A107" s="1"/>
      <c r="B107" s="1"/>
      <c r="C107" s="1"/>
      <c r="D107" s="1"/>
      <c r="E107" s="1"/>
      <c r="F107" s="1"/>
      <c r="G107" s="1"/>
    </row>
    <row r="108" customFormat="false" ht="14.25" hidden="false" customHeight="false" outlineLevel="0" collapsed="false">
      <c r="A108" s="1"/>
      <c r="B108" s="1"/>
      <c r="C108" s="1"/>
      <c r="D108" s="1"/>
      <c r="E108" s="1"/>
      <c r="F108" s="1"/>
      <c r="G108" s="1"/>
    </row>
    <row r="109" customFormat="false" ht="14.25" hidden="false" customHeight="false" outlineLevel="0" collapsed="false">
      <c r="A109" s="1"/>
      <c r="B109" s="1"/>
      <c r="C109" s="1"/>
      <c r="D109" s="1"/>
      <c r="E109" s="1"/>
      <c r="F109" s="1"/>
      <c r="G109" s="1"/>
    </row>
    <row r="110" customFormat="false" ht="14.25" hidden="false" customHeight="false" outlineLevel="0" collapsed="false">
      <c r="A110" s="1"/>
      <c r="B110" s="1"/>
      <c r="C110" s="1"/>
      <c r="D110" s="1"/>
      <c r="E110" s="1"/>
      <c r="F110" s="1"/>
      <c r="G110" s="1"/>
    </row>
    <row r="111" customFormat="false" ht="14.25" hidden="false" customHeight="false" outlineLevel="0" collapsed="false">
      <c r="A111" s="1"/>
      <c r="B111" s="1"/>
      <c r="C111" s="1"/>
      <c r="D111" s="1"/>
      <c r="E111" s="1"/>
      <c r="F111" s="1"/>
      <c r="G111" s="1"/>
    </row>
    <row r="112" customFormat="false" ht="14.25" hidden="false" customHeight="false" outlineLevel="0" collapsed="false">
      <c r="A112" s="1"/>
      <c r="B112" s="1"/>
      <c r="C112" s="1"/>
      <c r="D112" s="1"/>
      <c r="E112" s="1"/>
      <c r="F112" s="1"/>
      <c r="G112" s="1"/>
    </row>
    <row r="113" customFormat="false" ht="14.25" hidden="false" customHeight="false" outlineLevel="0" collapsed="false">
      <c r="A113" s="1"/>
      <c r="B113" s="1"/>
      <c r="C113" s="1"/>
      <c r="D113" s="1"/>
      <c r="E113" s="1"/>
      <c r="F113" s="1"/>
      <c r="G113" s="1"/>
    </row>
    <row r="114" customFormat="false" ht="14.25" hidden="false" customHeight="false" outlineLevel="0" collapsed="false">
      <c r="A114" s="1"/>
      <c r="B114" s="1"/>
      <c r="C114" s="1"/>
      <c r="D114" s="1"/>
      <c r="E114" s="1"/>
      <c r="F114" s="1"/>
      <c r="G114" s="1"/>
    </row>
    <row r="115" customFormat="false" ht="14.25" hidden="false" customHeight="false" outlineLevel="0" collapsed="false">
      <c r="A115" s="1"/>
      <c r="B115" s="1"/>
      <c r="C115" s="1"/>
      <c r="D115" s="1"/>
      <c r="E115" s="1"/>
      <c r="F115" s="1"/>
      <c r="G115" s="1"/>
    </row>
    <row r="116" customFormat="false" ht="14.25" hidden="false" customHeight="false" outlineLevel="0" collapsed="false">
      <c r="A116" s="1"/>
      <c r="B116" s="1"/>
      <c r="C116" s="1"/>
      <c r="D116" s="1"/>
      <c r="E116" s="1"/>
      <c r="F116" s="1"/>
      <c r="G116" s="1"/>
    </row>
    <row r="117" customFormat="false" ht="14.25" hidden="false" customHeight="false" outlineLevel="0" collapsed="false">
      <c r="A117" s="1"/>
      <c r="B117" s="1"/>
      <c r="C117" s="1"/>
      <c r="D117" s="1"/>
      <c r="E117" s="1"/>
      <c r="F117" s="1"/>
      <c r="G117" s="1"/>
    </row>
    <row r="118" customFormat="false" ht="14.25" hidden="false" customHeight="false" outlineLevel="0" collapsed="false">
      <c r="A118" s="1"/>
      <c r="B118" s="1"/>
      <c r="C118" s="1"/>
      <c r="D118" s="1"/>
      <c r="E118" s="1"/>
      <c r="F118" s="1"/>
      <c r="G118" s="1"/>
    </row>
    <row r="119" customFormat="false" ht="14.25" hidden="false" customHeight="false" outlineLevel="0" collapsed="false">
      <c r="A119" s="1"/>
      <c r="B119" s="1"/>
      <c r="C119" s="1"/>
      <c r="D119" s="1"/>
      <c r="E119" s="1"/>
      <c r="F119" s="1"/>
      <c r="G119" s="1"/>
    </row>
  </sheetData>
  <mergeCells count="8">
    <mergeCell ref="B2:F2"/>
    <mergeCell ref="B3:F3"/>
    <mergeCell ref="B5:F5"/>
    <mergeCell ref="B17:F17"/>
    <mergeCell ref="B29:F29"/>
    <mergeCell ref="B41:F41"/>
    <mergeCell ref="B53:F53"/>
    <mergeCell ref="B62:C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2026-04-11T19:25:50Z</dcterms:created>
  <dc:creator>openpyxl</dc:creator>
  <dc:description/>
  <dc:language>en-US</dc:language>
  <cp:lastModifiedBy>Gabriel Peñaranda Rubio</cp:lastModifiedBy>
  <dcterms:modified xsi:type="dcterms:W3CDTF">2026-10-16T17:25:00Z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